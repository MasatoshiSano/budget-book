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月別サマリー" sheetId="2" state="visible" r:id="rId2"/>
    <sheet name="カテゴリ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3" fontId="3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利用日</t>
        </is>
      </c>
      <c r="B1" s="1" t="inlineStr">
        <is>
          <t>利用店名</t>
        </is>
      </c>
      <c r="C1" s="1" t="inlineStr">
        <is>
          <t>カテゴリ</t>
        </is>
      </c>
      <c r="D1" s="1" t="inlineStr">
        <is>
          <t>金額</t>
        </is>
      </c>
      <c r="E1" s="1" t="inlineStr">
        <is>
          <t>お支払月</t>
        </is>
      </c>
      <c r="F1" s="1" t="inlineStr">
        <is>
          <t>備考</t>
        </is>
      </c>
    </row>
    <row r="2">
      <c r="A2" s="2" t="inlineStr">
        <is>
          <t>2025-11-27</t>
        </is>
      </c>
      <c r="B2" s="2" t="inlineStr">
        <is>
          <t>関⻄電⼒ 電気</t>
        </is>
      </c>
      <c r="C2" s="2" t="inlineStr">
        <is>
          <t>水道光熱費</t>
        </is>
      </c>
      <c r="D2" s="3" t="n">
        <v>6309</v>
      </c>
      <c r="E2" s="2" t="inlineStr">
        <is>
          <t>1月</t>
        </is>
      </c>
      <c r="F2" s="2" t="inlineStr">
        <is>
          <t>２５年１１⽉ ◎</t>
        </is>
      </c>
    </row>
    <row r="3">
      <c r="A3" s="2" t="inlineStr">
        <is>
          <t>2025-12-02</t>
        </is>
      </c>
      <c r="B3" s="2" t="inlineStr">
        <is>
          <t>ＡＭＡＺＯＮ．ＣＯ．ＪＰ</t>
        </is>
      </c>
      <c r="C3" s="2" t="inlineStr">
        <is>
          <t>ネットショッピング</t>
        </is>
      </c>
      <c r="D3" s="3" t="n">
        <v>11480</v>
      </c>
      <c r="E3" s="2" t="inlineStr">
        <is>
          <t>1月</t>
        </is>
      </c>
      <c r="F3" s="2" t="inlineStr">
        <is>
          <t>◎</t>
        </is>
      </c>
    </row>
    <row r="4">
      <c r="A4" s="2" t="inlineStr">
        <is>
          <t>2025-12-02</t>
        </is>
      </c>
      <c r="B4" s="2" t="inlineStr">
        <is>
          <t>ダイエー</t>
        </is>
      </c>
      <c r="C4" s="2" t="inlineStr">
        <is>
          <t>スーパー・食料品</t>
        </is>
      </c>
      <c r="D4" s="3" t="n">
        <v>725</v>
      </c>
      <c r="E4" s="2" t="inlineStr">
        <is>
          <t>1月</t>
        </is>
      </c>
      <c r="F4" s="2" t="inlineStr">
        <is>
          <t>◎</t>
        </is>
      </c>
    </row>
    <row r="5">
      <c r="A5" s="2" t="inlineStr">
        <is>
          <t>2025-12-06</t>
        </is>
      </c>
      <c r="B5" s="2" t="inlineStr">
        <is>
          <t>ニトリ</t>
        </is>
      </c>
      <c r="C5" s="2" t="inlineStr">
        <is>
          <t>日用品・インテリア</t>
        </is>
      </c>
      <c r="D5" s="3" t="n">
        <v>3012</v>
      </c>
      <c r="E5" s="2" t="inlineStr">
        <is>
          <t>1月</t>
        </is>
      </c>
      <c r="F5" s="2" t="inlineStr">
        <is>
          <t>◎</t>
        </is>
      </c>
    </row>
    <row r="6">
      <c r="A6" s="2" t="inlineStr">
        <is>
          <t>2025-12-07</t>
        </is>
      </c>
      <c r="B6" s="2" t="inlineStr">
        <is>
          <t>ＡＭＡＺＯＮ．ＣＯ．ＪＰ</t>
        </is>
      </c>
      <c r="C6" s="2" t="inlineStr">
        <is>
          <t>ネットショッピング</t>
        </is>
      </c>
      <c r="D6" s="3" t="n">
        <v>31980</v>
      </c>
      <c r="E6" s="2" t="inlineStr">
        <is>
          <t>1月</t>
        </is>
      </c>
      <c r="F6" s="2" t="inlineStr">
        <is>
          <t>◎</t>
        </is>
      </c>
    </row>
    <row r="7">
      <c r="A7" s="2" t="inlineStr">
        <is>
          <t>2025-12-07</t>
        </is>
      </c>
      <c r="B7" s="2" t="inlineStr">
        <is>
          <t>ＡＭＡＺＯＮ．ＣＯ．ＪＰ</t>
        </is>
      </c>
      <c r="C7" s="2" t="inlineStr">
        <is>
          <t>ネットショッピング</t>
        </is>
      </c>
      <c r="D7" s="3" t="n">
        <v>21949</v>
      </c>
      <c r="E7" s="2" t="inlineStr">
        <is>
          <t>1月</t>
        </is>
      </c>
      <c r="F7" s="2" t="inlineStr">
        <is>
          <t>◎</t>
        </is>
      </c>
    </row>
    <row r="8">
      <c r="A8" s="2" t="inlineStr">
        <is>
          <t>2025-12-10</t>
        </is>
      </c>
      <c r="B8" s="2" t="inlineStr">
        <is>
          <t>関⻄電⼒ガス</t>
        </is>
      </c>
      <c r="C8" s="2" t="inlineStr">
        <is>
          <t>水道光熱費</t>
        </is>
      </c>
      <c r="D8" s="3" t="n">
        <v>4910</v>
      </c>
      <c r="E8" s="2" t="inlineStr">
        <is>
          <t>1月</t>
        </is>
      </c>
      <c r="F8" s="2" t="inlineStr">
        <is>
          <t>２５年１２⽉ ◎</t>
        </is>
      </c>
    </row>
    <row r="9">
      <c r="A9" s="2" t="inlineStr">
        <is>
          <t>2025-12-26</t>
        </is>
      </c>
      <c r="B9" s="2" t="inlineStr">
        <is>
          <t>Ｒｅｎｔｉｏ</t>
        </is>
      </c>
      <c r="C9" s="2" t="inlineStr">
        <is>
          <t>通信費・サブスク</t>
        </is>
      </c>
      <c r="D9" s="3" t="n">
        <v>6282</v>
      </c>
      <c r="E9" s="2" t="inlineStr">
        <is>
          <t>1月</t>
        </is>
      </c>
      <c r="F9" s="2" t="inlineStr">
        <is>
          <t>◎</t>
        </is>
      </c>
    </row>
    <row r="10">
      <c r="A10" s="2" t="inlineStr">
        <is>
          <t>2025-12-28</t>
        </is>
      </c>
      <c r="B10" s="2" t="inlineStr">
        <is>
          <t>Ａｍａｚｏｎプライム会費</t>
        </is>
      </c>
      <c r="C10" s="2" t="inlineStr">
        <is>
          <t>通信費・サブスク</t>
        </is>
      </c>
      <c r="D10" s="3" t="n">
        <v>600</v>
      </c>
      <c r="E10" s="2" t="inlineStr">
        <is>
          <t>1月</t>
        </is>
      </c>
      <c r="F10" s="2" t="inlineStr">
        <is>
          <t>◎</t>
        </is>
      </c>
    </row>
    <row r="11">
      <c r="A11" s="2" t="inlineStr">
        <is>
          <t>2025-12-29</t>
        </is>
      </c>
      <c r="B11" s="2" t="inlineStr">
        <is>
          <t>ＡＭＡＺＯＮ．ＣＯ．ＪＰ</t>
        </is>
      </c>
      <c r="C11" s="2" t="inlineStr">
        <is>
          <t>ネットショッピング</t>
        </is>
      </c>
      <c r="D11" s="3" t="n">
        <v>34176</v>
      </c>
      <c r="E11" s="2" t="inlineStr">
        <is>
          <t>1月</t>
        </is>
      </c>
      <c r="F11" s="2" t="inlineStr">
        <is>
          <t>◎</t>
        </is>
      </c>
    </row>
    <row r="12">
      <c r="A12" s="2" t="inlineStr">
        <is>
          <t>2025-12-30</t>
        </is>
      </c>
      <c r="B12" s="2" t="inlineStr">
        <is>
          <t>キャトルエピス 静岡店</t>
        </is>
      </c>
      <c r="C12" s="2" t="inlineStr">
        <is>
          <t>外食・カフェ</t>
        </is>
      </c>
      <c r="D12" s="3" t="n">
        <v>2928</v>
      </c>
      <c r="E12" s="2" t="inlineStr">
        <is>
          <t>1月</t>
        </is>
      </c>
      <c r="F12" s="2" t="inlineStr">
        <is>
          <t>◎</t>
        </is>
      </c>
    </row>
    <row r="13">
      <c r="A13" s="2" t="inlineStr">
        <is>
          <t>2025-12-30</t>
        </is>
      </c>
      <c r="B13" s="2" t="inlineStr">
        <is>
          <t>ななや 藤枝本店</t>
        </is>
      </c>
      <c r="C13" s="2" t="inlineStr">
        <is>
          <t>外食・カフェ</t>
        </is>
      </c>
      <c r="D13" s="3" t="n">
        <v>8359</v>
      </c>
      <c r="E13" s="2" t="inlineStr">
        <is>
          <t>1月</t>
        </is>
      </c>
      <c r="F13" s="2" t="inlineStr">
        <is>
          <t>◎</t>
        </is>
      </c>
    </row>
    <row r="14">
      <c r="A14" s="2" t="inlineStr">
        <is>
          <t>2025-12-30</t>
        </is>
      </c>
      <c r="B14" s="2" t="inlineStr">
        <is>
          <t>ななや 藤枝本店</t>
        </is>
      </c>
      <c r="C14" s="2" t="inlineStr">
        <is>
          <t>外食・カフェ</t>
        </is>
      </c>
      <c r="D14" s="3" t="n">
        <v>11032</v>
      </c>
      <c r="E14" s="2" t="inlineStr">
        <is>
          <t>1月</t>
        </is>
      </c>
      <c r="F14" s="2" t="inlineStr">
        <is>
          <t>◎</t>
        </is>
      </c>
    </row>
    <row r="15">
      <c r="A15" s="2" t="inlineStr">
        <is>
          <t>2025-12-31</t>
        </is>
      </c>
      <c r="B15" s="2" t="inlineStr">
        <is>
          <t>ＧＲＥＥＮＩＴＹ ＩＷＡＴＡ∕ＮＦＣ</t>
        </is>
      </c>
      <c r="C15" s="2" t="inlineStr">
        <is>
          <t>外食・カフェ</t>
        </is>
      </c>
      <c r="D15" s="3" t="n">
        <v>1160</v>
      </c>
      <c r="E15" s="2" t="inlineStr">
        <is>
          <t>1月</t>
        </is>
      </c>
      <c r="F15" s="2" t="inlineStr">
        <is>
          <t>◎</t>
        </is>
      </c>
    </row>
    <row r="16">
      <c r="A16" s="2" t="inlineStr">
        <is>
          <t>2025-12-31</t>
        </is>
      </c>
      <c r="B16" s="2" t="inlineStr">
        <is>
          <t>株式会社⼀休</t>
        </is>
      </c>
      <c r="C16" s="2" t="inlineStr">
        <is>
          <t>旅行・宿泊（予約サイト）</t>
        </is>
      </c>
      <c r="D16" s="3" t="n">
        <v>45913</v>
      </c>
      <c r="E16" s="2" t="inlineStr">
        <is>
          <t>1月</t>
        </is>
      </c>
      <c r="F16" s="2" t="inlineStr">
        <is>
          <t>◎</t>
        </is>
      </c>
    </row>
    <row r="17">
      <c r="A17" s="2" t="inlineStr">
        <is>
          <t>2025-12-31</t>
        </is>
      </c>
      <c r="B17" s="2" t="inlineStr">
        <is>
          <t>セブン－イレブン</t>
        </is>
      </c>
      <c r="C17" s="2" t="inlineStr">
        <is>
          <t>コンビニ</t>
        </is>
      </c>
      <c r="D17" s="3" t="n">
        <v>6372</v>
      </c>
      <c r="E17" s="2" t="inlineStr">
        <is>
          <t>1月</t>
        </is>
      </c>
      <c r="F17" s="2" t="inlineStr">
        <is>
          <t>◎</t>
        </is>
      </c>
    </row>
    <row r="18">
      <c r="A18" s="2" t="inlineStr">
        <is>
          <t>2025-12-31</t>
        </is>
      </c>
      <c r="B18" s="2" t="inlineStr">
        <is>
          <t>Ａｍａｚｏｎふるさと納税</t>
        </is>
      </c>
      <c r="C18" s="2" t="inlineStr">
        <is>
          <t>ふるさと納税</t>
        </is>
      </c>
      <c r="D18" s="3" t="n">
        <v>85000</v>
      </c>
      <c r="E18" s="2" t="inlineStr">
        <is>
          <t>1月</t>
        </is>
      </c>
      <c r="F18" s="2" t="inlineStr">
        <is>
          <t>◎</t>
        </is>
      </c>
    </row>
    <row r="19">
      <c r="A19" s="2" t="inlineStr">
        <is>
          <t>2025-12-31</t>
        </is>
      </c>
      <c r="B19" s="2" t="inlineStr">
        <is>
          <t>Ｓｑｕａｒｅ</t>
        </is>
      </c>
      <c r="C19" s="2" t="inlineStr">
        <is>
          <t>外食・カフェ</t>
        </is>
      </c>
      <c r="D19" s="3" t="n">
        <v>2040</v>
      </c>
      <c r="E19" s="2" t="inlineStr">
        <is>
          <t>1月</t>
        </is>
      </c>
      <c r="F19" s="2" t="inlineStr">
        <is>
          <t>ＳＱ＊ミモザショコラトリー本店 ◎</t>
        </is>
      </c>
    </row>
    <row r="20">
      <c r="A20" s="2" t="inlineStr">
        <is>
          <t>2025-12-25</t>
        </is>
      </c>
      <c r="B20" s="2" t="inlineStr">
        <is>
          <t>関⻄電⼒ 電気</t>
        </is>
      </c>
      <c r="C20" s="2" t="inlineStr">
        <is>
          <t>水道光熱費</t>
        </is>
      </c>
      <c r="D20" s="3" t="n">
        <v>8640</v>
      </c>
      <c r="E20" s="2" t="inlineStr">
        <is>
          <t>2月</t>
        </is>
      </c>
      <c r="F20" s="2" t="inlineStr">
        <is>
          <t>２５年１２⽉ ◎</t>
        </is>
      </c>
    </row>
    <row r="21">
      <c r="A21" s="2" t="inlineStr">
        <is>
          <t>2026-01-01</t>
        </is>
      </c>
      <c r="B21" s="2" t="inlineStr">
        <is>
          <t>三井アウトレットパ－ク ジャズドリ－ム⻑</t>
        </is>
      </c>
      <c r="C21" s="2" t="inlineStr">
        <is>
          <t>ショッピングモール・百貨店</t>
        </is>
      </c>
      <c r="D21" s="3" t="n">
        <v>2660</v>
      </c>
      <c r="E21" s="2" t="inlineStr">
        <is>
          <t>2月</t>
        </is>
      </c>
      <c r="F21" s="2" t="inlineStr">
        <is>
          <t>◎</t>
        </is>
      </c>
    </row>
    <row r="22">
      <c r="A22" s="2" t="inlineStr">
        <is>
          <t>2026-01-01</t>
        </is>
      </c>
      <c r="B22" s="2" t="inlineStr">
        <is>
          <t>三井アウトレットパ－ク ジャズドリ－ム⻑</t>
        </is>
      </c>
      <c r="C22" s="2" t="inlineStr">
        <is>
          <t>ショッピングモール・百貨店</t>
        </is>
      </c>
      <c r="D22" s="3" t="n">
        <v>5990</v>
      </c>
      <c r="E22" s="2" t="inlineStr">
        <is>
          <t>2月</t>
        </is>
      </c>
      <c r="F22" s="2" t="inlineStr">
        <is>
          <t>◎</t>
        </is>
      </c>
    </row>
    <row r="23">
      <c r="A23" s="2" t="inlineStr">
        <is>
          <t>2026-01-02</t>
        </is>
      </c>
      <c r="B23" s="2" t="inlineStr">
        <is>
          <t>廻鮮鮨 喜⼗郎</t>
        </is>
      </c>
      <c r="C23" s="2" t="inlineStr">
        <is>
          <t>外食・カフェ</t>
        </is>
      </c>
      <c r="D23" s="3" t="n">
        <v>6116</v>
      </c>
      <c r="E23" s="2" t="inlineStr">
        <is>
          <t>2月</t>
        </is>
      </c>
      <c r="F23" s="2" t="inlineStr">
        <is>
          <t>◎</t>
        </is>
      </c>
    </row>
    <row r="24">
      <c r="A24" s="2" t="inlineStr">
        <is>
          <t>2026-01-06</t>
        </is>
      </c>
      <c r="B24" s="2" t="inlineStr">
        <is>
          <t>ダイエー</t>
        </is>
      </c>
      <c r="C24" s="2" t="inlineStr">
        <is>
          <t>スーパー・食料品</t>
        </is>
      </c>
      <c r="D24" s="3" t="n">
        <v>673</v>
      </c>
      <c r="E24" s="2" t="inlineStr">
        <is>
          <t>2月</t>
        </is>
      </c>
      <c r="F24" s="2" t="inlineStr">
        <is>
          <t>◎</t>
        </is>
      </c>
    </row>
    <row r="25">
      <c r="A25" s="2" t="inlineStr">
        <is>
          <t>2026-01-07</t>
        </is>
      </c>
      <c r="B25" s="2" t="inlineStr">
        <is>
          <t>ダイエー</t>
        </is>
      </c>
      <c r="C25" s="2" t="inlineStr">
        <is>
          <t>スーパー・食料品</t>
        </is>
      </c>
      <c r="D25" s="3" t="n">
        <v>1345</v>
      </c>
      <c r="E25" s="2" t="inlineStr">
        <is>
          <t>2月</t>
        </is>
      </c>
      <c r="F25" s="2" t="inlineStr">
        <is>
          <t>◎</t>
        </is>
      </c>
    </row>
    <row r="26">
      <c r="A26" s="2" t="inlineStr">
        <is>
          <t>2026-01-08</t>
        </is>
      </c>
      <c r="B26" s="2" t="inlineStr">
        <is>
          <t>ダイエー</t>
        </is>
      </c>
      <c r="C26" s="2" t="inlineStr">
        <is>
          <t>スーパー・食料品</t>
        </is>
      </c>
      <c r="D26" s="3" t="n">
        <v>494</v>
      </c>
      <c r="E26" s="2" t="inlineStr">
        <is>
          <t>2月</t>
        </is>
      </c>
      <c r="F26" s="2" t="inlineStr">
        <is>
          <t>◎</t>
        </is>
      </c>
    </row>
    <row r="27">
      <c r="A27" s="2" t="inlineStr">
        <is>
          <t>2026-01-09</t>
        </is>
      </c>
      <c r="B27" s="2" t="inlineStr">
        <is>
          <t>ダイエー</t>
        </is>
      </c>
      <c r="C27" s="2" t="inlineStr">
        <is>
          <t>スーパー・食料品</t>
        </is>
      </c>
      <c r="D27" s="3" t="n">
        <v>1703</v>
      </c>
      <c r="E27" s="2" t="inlineStr">
        <is>
          <t>2月</t>
        </is>
      </c>
      <c r="F27" s="2" t="inlineStr">
        <is>
          <t>◎</t>
        </is>
      </c>
    </row>
    <row r="28">
      <c r="A28" s="2" t="inlineStr">
        <is>
          <t>2026-01-10</t>
        </is>
      </c>
      <c r="B28" s="2" t="inlineStr">
        <is>
          <t>関⻄スーパー 苦楽園店</t>
        </is>
      </c>
      <c r="C28" s="2" t="inlineStr">
        <is>
          <t>スーパー・食料品</t>
        </is>
      </c>
      <c r="D28" s="3" t="n">
        <v>3556</v>
      </c>
      <c r="E28" s="2" t="inlineStr">
        <is>
          <t>2月</t>
        </is>
      </c>
      <c r="F28" s="2" t="inlineStr">
        <is>
          <t>◎</t>
        </is>
      </c>
    </row>
    <row r="29">
      <c r="A29" s="2" t="inlineStr">
        <is>
          <t>2026-01-10</t>
        </is>
      </c>
      <c r="B29" s="2" t="inlineStr">
        <is>
          <t>ＢＩＧ ＢＥＡＮＳ芦屋店</t>
        </is>
      </c>
      <c r="C29" s="2" t="inlineStr">
        <is>
          <t>外食・カフェ</t>
        </is>
      </c>
      <c r="D29" s="3" t="n">
        <v>2608</v>
      </c>
      <c r="E29" s="2" t="inlineStr">
        <is>
          <t>2月</t>
        </is>
      </c>
      <c r="F29" s="2" t="inlineStr">
        <is>
          <t>◎</t>
        </is>
      </c>
    </row>
    <row r="30">
      <c r="A30" s="2" t="inlineStr">
        <is>
          <t>2026-01-11</t>
        </is>
      </c>
      <c r="B30" s="2" t="inlineStr">
        <is>
          <t>ｅｋｉｍｏ梅⽥∕ＮＦＣ</t>
        </is>
      </c>
      <c r="C30" s="2" t="inlineStr">
        <is>
          <t>ショッピングモール・百貨店</t>
        </is>
      </c>
      <c r="D30" s="3" t="n">
        <v>110</v>
      </c>
      <c r="E30" s="2" t="inlineStr">
        <is>
          <t>2月</t>
        </is>
      </c>
      <c r="F30" s="2" t="inlineStr">
        <is>
          <t>◎</t>
        </is>
      </c>
    </row>
    <row r="31">
      <c r="A31" s="2" t="inlineStr">
        <is>
          <t>2026-01-11</t>
        </is>
      </c>
      <c r="B31" s="2" t="inlineStr">
        <is>
          <t>阪急三番街</t>
        </is>
      </c>
      <c r="C31" s="2" t="inlineStr">
        <is>
          <t>ショッピングモール・百貨店</t>
        </is>
      </c>
      <c r="D31" s="3" t="n">
        <v>1400</v>
      </c>
      <c r="E31" s="2" t="inlineStr">
        <is>
          <t>2月</t>
        </is>
      </c>
      <c r="F31" s="2" t="inlineStr">
        <is>
          <t>◎</t>
        </is>
      </c>
    </row>
    <row r="32">
      <c r="A32" s="2" t="inlineStr">
        <is>
          <t>2026-01-11</t>
        </is>
      </c>
      <c r="B32" s="2" t="inlineStr">
        <is>
          <t>ダイニー</t>
        </is>
      </c>
      <c r="C32" s="2" t="inlineStr">
        <is>
          <t>外食・カフェ</t>
        </is>
      </c>
      <c r="D32" s="3" t="n">
        <v>28670</v>
      </c>
      <c r="E32" s="2" t="inlineStr">
        <is>
          <t>2月</t>
        </is>
      </c>
      <c r="F32" s="2" t="inlineStr">
        <is>
          <t>◎</t>
        </is>
      </c>
    </row>
    <row r="33">
      <c r="A33" s="2" t="inlineStr">
        <is>
          <t>2026-01-11</t>
        </is>
      </c>
      <c r="B33" s="2" t="inlineStr">
        <is>
          <t>コクミンＷｈｉｔｙうめだファルル店</t>
        </is>
      </c>
      <c r="C33" s="2" t="inlineStr">
        <is>
          <t>ショッピングモール・百貨店</t>
        </is>
      </c>
      <c r="D33" s="3" t="n">
        <v>658</v>
      </c>
      <c r="E33" s="2" t="inlineStr">
        <is>
          <t>2月</t>
        </is>
      </c>
      <c r="F33" s="2" t="inlineStr">
        <is>
          <t>◎</t>
        </is>
      </c>
    </row>
    <row r="34">
      <c r="A34" s="2" t="inlineStr">
        <is>
          <t>2026-01-12</t>
        </is>
      </c>
      <c r="B34" s="2" t="inlineStr">
        <is>
          <t>ＭＯＶＩＸあまがさき</t>
        </is>
      </c>
      <c r="C34" s="2" t="inlineStr">
        <is>
          <t>レジャー・娯楽</t>
        </is>
      </c>
      <c r="D34" s="3" t="n">
        <v>4200</v>
      </c>
      <c r="E34" s="2" t="inlineStr">
        <is>
          <t>2月</t>
        </is>
      </c>
      <c r="F34" s="2" t="inlineStr">
        <is>
          <t>◎</t>
        </is>
      </c>
    </row>
    <row r="35">
      <c r="A35" s="2" t="inlineStr">
        <is>
          <t>2026-01-12</t>
        </is>
      </c>
      <c r="B35" s="2" t="inlineStr">
        <is>
          <t>あまがさき キューズモール</t>
        </is>
      </c>
      <c r="C35" s="2" t="inlineStr">
        <is>
          <t>ショッピングモール・百貨店</t>
        </is>
      </c>
      <c r="D35" s="3" t="n">
        <v>3366</v>
      </c>
      <c r="E35" s="2" t="inlineStr">
        <is>
          <t>2月</t>
        </is>
      </c>
      <c r="F35" s="2" t="inlineStr">
        <is>
          <t>◎</t>
        </is>
      </c>
    </row>
    <row r="36">
      <c r="A36" s="2" t="inlineStr">
        <is>
          <t>2026-01-12</t>
        </is>
      </c>
      <c r="B36" s="2" t="inlineStr">
        <is>
          <t>ＭＯＶＩＸ あまがさき</t>
        </is>
      </c>
      <c r="C36" s="2" t="inlineStr">
        <is>
          <t>レジャー・娯楽</t>
        </is>
      </c>
      <c r="D36" s="3" t="n">
        <v>820</v>
      </c>
      <c r="E36" s="2" t="inlineStr">
        <is>
          <t>2月</t>
        </is>
      </c>
      <c r="F36" s="2" t="inlineStr">
        <is>
          <t>◎</t>
        </is>
      </c>
    </row>
    <row r="37">
      <c r="A37" s="2" t="inlineStr">
        <is>
          <t>2026-01-14</t>
        </is>
      </c>
      <c r="B37" s="2" t="inlineStr">
        <is>
          <t>関⻄電⼒ガス</t>
        </is>
      </c>
      <c r="C37" s="2" t="inlineStr">
        <is>
          <t>水道光熱費</t>
        </is>
      </c>
      <c r="D37" s="3" t="n">
        <v>7522</v>
      </c>
      <c r="E37" s="2" t="inlineStr">
        <is>
          <t>2月</t>
        </is>
      </c>
      <c r="F37" s="2" t="inlineStr">
        <is>
          <t>２６年 １⽉ ◎</t>
        </is>
      </c>
    </row>
    <row r="38">
      <c r="A38" s="2" t="inlineStr">
        <is>
          <t>2026-01-16</t>
        </is>
      </c>
      <c r="B38" s="2" t="inlineStr">
        <is>
          <t>ダイエー</t>
        </is>
      </c>
      <c r="C38" s="2" t="inlineStr">
        <is>
          <t>スーパー・食料品</t>
        </is>
      </c>
      <c r="D38" s="3" t="n">
        <v>384</v>
      </c>
      <c r="E38" s="2" t="inlineStr">
        <is>
          <t>2月</t>
        </is>
      </c>
      <c r="F38" s="2" t="inlineStr">
        <is>
          <t>◎</t>
        </is>
      </c>
    </row>
    <row r="39">
      <c r="A39" s="2" t="inlineStr">
        <is>
          <t>2026-01-17</t>
        </is>
      </c>
      <c r="B39" s="2" t="inlineStr">
        <is>
          <t>ローソン</t>
        </is>
      </c>
      <c r="C39" s="2" t="inlineStr">
        <is>
          <t>コンビニ</t>
        </is>
      </c>
      <c r="D39" s="3" t="n">
        <v>460</v>
      </c>
      <c r="E39" s="2" t="inlineStr">
        <is>
          <t>2月</t>
        </is>
      </c>
      <c r="F39" s="2" t="inlineStr">
        <is>
          <t>◎</t>
        </is>
      </c>
    </row>
    <row r="40">
      <c r="A40" s="2" t="inlineStr">
        <is>
          <t>2026-01-17</t>
        </is>
      </c>
      <c r="B40" s="2" t="inlineStr">
        <is>
          <t>イズミヤ</t>
        </is>
      </c>
      <c r="C40" s="2" t="inlineStr">
        <is>
          <t>スーパー・食料品</t>
        </is>
      </c>
      <c r="D40" s="3" t="n">
        <v>1827</v>
      </c>
      <c r="E40" s="2" t="inlineStr">
        <is>
          <t>2月</t>
        </is>
      </c>
      <c r="F40" s="2" t="inlineStr">
        <is>
          <t>◎</t>
        </is>
      </c>
    </row>
    <row r="41">
      <c r="A41" s="2" t="inlineStr">
        <is>
          <t>2026-01-17</t>
        </is>
      </c>
      <c r="B41" s="2" t="inlineStr">
        <is>
          <t>阪急⻄宮ガーデンズ</t>
        </is>
      </c>
      <c r="C41" s="2" t="inlineStr">
        <is>
          <t>ショッピングモール・百貨店</t>
        </is>
      </c>
      <c r="D41" s="3" t="n">
        <v>2234</v>
      </c>
      <c r="E41" s="2" t="inlineStr">
        <is>
          <t>2月</t>
        </is>
      </c>
      <c r="F41" s="2" t="inlineStr">
        <is>
          <t>◎</t>
        </is>
      </c>
    </row>
    <row r="42">
      <c r="A42" s="2" t="inlineStr">
        <is>
          <t>2026-01-17</t>
        </is>
      </c>
      <c r="B42" s="2" t="inlineStr">
        <is>
          <t>阪急⻄宮ガーデンズ</t>
        </is>
      </c>
      <c r="C42" s="2" t="inlineStr">
        <is>
          <t>ショッピングモール・百貨店</t>
        </is>
      </c>
      <c r="D42" s="3" t="n">
        <v>1444</v>
      </c>
      <c r="E42" s="2" t="inlineStr">
        <is>
          <t>2月</t>
        </is>
      </c>
      <c r="F42" s="2" t="inlineStr">
        <is>
          <t>◎</t>
        </is>
      </c>
    </row>
    <row r="43">
      <c r="A43" s="2" t="inlineStr">
        <is>
          <t>2026-01-18</t>
        </is>
      </c>
      <c r="B43" s="2" t="inlineStr">
        <is>
          <t>業務ス－パ－⻄宮薬師店</t>
        </is>
      </c>
      <c r="C43" s="2" t="inlineStr">
        <is>
          <t>スーパー・食料品</t>
        </is>
      </c>
      <c r="D43" s="3" t="n">
        <v>3838</v>
      </c>
      <c r="E43" s="2" t="inlineStr">
        <is>
          <t>2月</t>
        </is>
      </c>
      <c r="F43" s="2" t="inlineStr">
        <is>
          <t>◎</t>
        </is>
      </c>
    </row>
    <row r="44">
      <c r="A44" s="2" t="inlineStr">
        <is>
          <t>2026-01-20</t>
        </is>
      </c>
      <c r="B44" s="2" t="inlineStr">
        <is>
          <t>ダイエー</t>
        </is>
      </c>
      <c r="C44" s="2" t="inlineStr">
        <is>
          <t>スーパー・食料品</t>
        </is>
      </c>
      <c r="D44" s="3" t="n">
        <v>446</v>
      </c>
      <c r="E44" s="2" t="inlineStr">
        <is>
          <t>2月</t>
        </is>
      </c>
      <c r="F44" s="2" t="inlineStr">
        <is>
          <t>◎</t>
        </is>
      </c>
    </row>
    <row r="45">
      <c r="A45" s="2" t="inlineStr">
        <is>
          <t>2026-01-22</t>
        </is>
      </c>
      <c r="B45" s="2" t="inlineStr">
        <is>
          <t>ダイエー</t>
        </is>
      </c>
      <c r="C45" s="2" t="inlineStr">
        <is>
          <t>スーパー・食料品</t>
        </is>
      </c>
      <c r="D45" s="3" t="n">
        <v>865</v>
      </c>
      <c r="E45" s="2" t="inlineStr">
        <is>
          <t>2月</t>
        </is>
      </c>
      <c r="F45" s="2" t="inlineStr">
        <is>
          <t>◎</t>
        </is>
      </c>
    </row>
    <row r="46">
      <c r="A46" s="2" t="inlineStr">
        <is>
          <t>2026-01-24</t>
        </is>
      </c>
      <c r="B46" s="2" t="inlineStr">
        <is>
          <t>ルクア⼤阪∕ＮＦＣ</t>
        </is>
      </c>
      <c r="C46" s="2" t="inlineStr">
        <is>
          <t>ショッピングモール・百貨店</t>
        </is>
      </c>
      <c r="D46" s="3" t="n">
        <v>3307</v>
      </c>
      <c r="E46" s="2" t="inlineStr">
        <is>
          <t>2月</t>
        </is>
      </c>
      <c r="F46" s="2" t="inlineStr">
        <is>
          <t>◎</t>
        </is>
      </c>
    </row>
    <row r="47">
      <c r="A47" s="2" t="inlineStr">
        <is>
          <t>2026-01-24</t>
        </is>
      </c>
      <c r="B47" s="2" t="inlineStr">
        <is>
          <t>ららぽーと甲⼦園</t>
        </is>
      </c>
      <c r="C47" s="2" t="inlineStr">
        <is>
          <t>ショッピングモール・百貨店</t>
        </is>
      </c>
      <c r="D47" s="3" t="n">
        <v>1078</v>
      </c>
      <c r="E47" s="2" t="inlineStr">
        <is>
          <t>2月</t>
        </is>
      </c>
      <c r="F47" s="2" t="inlineStr">
        <is>
          <t>◎</t>
        </is>
      </c>
    </row>
    <row r="48">
      <c r="A48" s="2" t="inlineStr">
        <is>
          <t>2026-01-24</t>
        </is>
      </c>
      <c r="B48" s="2" t="inlineStr">
        <is>
          <t>ココカラファイン</t>
        </is>
      </c>
      <c r="C48" s="2" t="inlineStr">
        <is>
          <t>ドラッグストア</t>
        </is>
      </c>
      <c r="D48" s="3" t="n">
        <v>128</v>
      </c>
      <c r="E48" s="2" t="inlineStr">
        <is>
          <t>2月</t>
        </is>
      </c>
      <c r="F48" s="2" t="inlineStr">
        <is>
          <t>◎</t>
        </is>
      </c>
    </row>
    <row r="49">
      <c r="A49" s="2" t="inlineStr">
        <is>
          <t>2026-01-25</t>
        </is>
      </c>
      <c r="B49" s="2" t="inlineStr">
        <is>
          <t>マクドナルド</t>
        </is>
      </c>
      <c r="C49" s="2" t="inlineStr">
        <is>
          <t>外食・カフェ</t>
        </is>
      </c>
      <c r="D49" s="3" t="n">
        <v>1200</v>
      </c>
      <c r="E49" s="2" t="inlineStr">
        <is>
          <t>2月</t>
        </is>
      </c>
      <c r="F49" s="2" t="inlineStr">
        <is>
          <t>◎</t>
        </is>
      </c>
    </row>
    <row r="50">
      <c r="A50" s="2" t="inlineStr">
        <is>
          <t>2026-01-25</t>
        </is>
      </c>
      <c r="B50" s="2" t="inlineStr">
        <is>
          <t>スターバックスコーヒージャパン</t>
        </is>
      </c>
      <c r="C50" s="2" t="inlineStr">
        <is>
          <t>外食・カフェ</t>
        </is>
      </c>
      <c r="D50" s="3" t="n">
        <v>735</v>
      </c>
      <c r="E50" s="2" t="inlineStr">
        <is>
          <t>2月</t>
        </is>
      </c>
      <c r="F50" s="2" t="inlineStr">
        <is>
          <t>◎</t>
        </is>
      </c>
    </row>
    <row r="51">
      <c r="A51" s="2" t="inlineStr">
        <is>
          <t>2026-01-25</t>
        </is>
      </c>
      <c r="B51" s="2" t="inlineStr">
        <is>
          <t>ファミリーマート</t>
        </is>
      </c>
      <c r="C51" s="2" t="inlineStr">
        <is>
          <t>コンビニ</t>
        </is>
      </c>
      <c r="D51" s="3" t="n">
        <v>389</v>
      </c>
      <c r="E51" s="2" t="inlineStr">
        <is>
          <t>2月</t>
        </is>
      </c>
      <c r="F51" s="2" t="inlineStr">
        <is>
          <t>ファミリーマート 摂津学園町 ◎</t>
        </is>
      </c>
    </row>
    <row r="52">
      <c r="A52" s="2" t="inlineStr">
        <is>
          <t>2026-01-26</t>
        </is>
      </c>
      <c r="B52" s="2" t="inlineStr">
        <is>
          <t>セブン－イレブン</t>
        </is>
      </c>
      <c r="C52" s="2" t="inlineStr">
        <is>
          <t>コンビニ</t>
        </is>
      </c>
      <c r="D52" s="3" t="n">
        <v>181</v>
      </c>
      <c r="E52" s="2" t="inlineStr">
        <is>
          <t>2月</t>
        </is>
      </c>
      <c r="F52" s="2" t="inlineStr">
        <is>
          <t>◎</t>
        </is>
      </c>
    </row>
    <row r="53">
      <c r="A53" s="2" t="inlineStr">
        <is>
          <t>2026-01-27</t>
        </is>
      </c>
      <c r="B53" s="2" t="inlineStr">
        <is>
          <t>ダイエー</t>
        </is>
      </c>
      <c r="C53" s="2" t="inlineStr">
        <is>
          <t>スーパー・食料品</t>
        </is>
      </c>
      <c r="D53" s="3" t="n">
        <v>693</v>
      </c>
      <c r="E53" s="2" t="inlineStr">
        <is>
          <t>2月</t>
        </is>
      </c>
      <c r="F53" s="2" t="inlineStr">
        <is>
          <t>◎</t>
        </is>
      </c>
    </row>
    <row r="54">
      <c r="A54" s="2" t="inlineStr">
        <is>
          <t>2026-01-28</t>
        </is>
      </c>
      <c r="B54" s="2" t="inlineStr">
        <is>
          <t>Ａｍａｚｏｎプライム会費</t>
        </is>
      </c>
      <c r="C54" s="2" t="inlineStr">
        <is>
          <t>通信費・サブスク</t>
        </is>
      </c>
      <c r="D54" s="3" t="n">
        <v>600</v>
      </c>
      <c r="E54" s="2" t="inlineStr">
        <is>
          <t>2月</t>
        </is>
      </c>
      <c r="F54" s="2" t="inlineStr">
        <is>
          <t>◎</t>
        </is>
      </c>
    </row>
    <row r="55">
      <c r="A55" s="2" t="inlineStr">
        <is>
          <t>2026-01-29</t>
        </is>
      </c>
      <c r="B55" s="2" t="inlineStr">
        <is>
          <t>ダイエー</t>
        </is>
      </c>
      <c r="C55" s="2" t="inlineStr">
        <is>
          <t>スーパー・食料品</t>
        </is>
      </c>
      <c r="D55" s="3" t="n">
        <v>213</v>
      </c>
      <c r="E55" s="2" t="inlineStr">
        <is>
          <t>2月</t>
        </is>
      </c>
      <c r="F55" s="2" t="inlineStr">
        <is>
          <t>◎</t>
        </is>
      </c>
    </row>
    <row r="56">
      <c r="A56" s="2" t="inlineStr">
        <is>
          <t>2026-01-30</t>
        </is>
      </c>
      <c r="B56" s="2" t="inlineStr">
        <is>
          <t>ダイエー</t>
        </is>
      </c>
      <c r="C56" s="2" t="inlineStr">
        <is>
          <t>スーパー・食料品</t>
        </is>
      </c>
      <c r="D56" s="3" t="n">
        <v>1591</v>
      </c>
      <c r="E56" s="2" t="inlineStr">
        <is>
          <t>2月</t>
        </is>
      </c>
      <c r="F56" s="2" t="inlineStr">
        <is>
          <t>◎</t>
        </is>
      </c>
    </row>
    <row r="57">
      <c r="A57" s="2" t="inlineStr">
        <is>
          <t>2026-01-31</t>
        </is>
      </c>
      <c r="B57" s="2" t="inlineStr">
        <is>
          <t>ダイソー∕ＮＦＣ</t>
        </is>
      </c>
      <c r="C57" s="2" t="inlineStr">
        <is>
          <t>日用品・インテリア</t>
        </is>
      </c>
      <c r="D57" s="3" t="n">
        <v>110</v>
      </c>
      <c r="E57" s="2" t="inlineStr">
        <is>
          <t>2月</t>
        </is>
      </c>
      <c r="F57" s="2" t="inlineStr">
        <is>
          <t>◎</t>
        </is>
      </c>
    </row>
    <row r="58">
      <c r="A58" s="2" t="inlineStr">
        <is>
          <t>2026-01-31</t>
        </is>
      </c>
      <c r="B58" s="2" t="inlineStr">
        <is>
          <t>ダイソー∕ＮＦＣ</t>
        </is>
      </c>
      <c r="C58" s="2" t="inlineStr">
        <is>
          <t>日用品・インテリア</t>
        </is>
      </c>
      <c r="D58" s="3" t="n">
        <v>220</v>
      </c>
      <c r="E58" s="2" t="inlineStr">
        <is>
          <t>2月</t>
        </is>
      </c>
      <c r="F58" s="2" t="inlineStr">
        <is>
          <t>◎</t>
        </is>
      </c>
    </row>
    <row r="59">
      <c r="A59" s="2" t="inlineStr">
        <is>
          <t>2026-01-31</t>
        </is>
      </c>
      <c r="B59" s="2" t="inlineStr">
        <is>
          <t>スターバックスコーヒージャパン</t>
        </is>
      </c>
      <c r="C59" s="2" t="inlineStr">
        <is>
          <t>外食・カフェ</t>
        </is>
      </c>
      <c r="D59" s="3" t="n">
        <v>1344</v>
      </c>
      <c r="E59" s="2" t="inlineStr">
        <is>
          <t>2月</t>
        </is>
      </c>
      <c r="F59" s="2" t="inlineStr">
        <is>
          <t>◎</t>
        </is>
      </c>
    </row>
    <row r="60">
      <c r="A60" s="2" t="inlineStr">
        <is>
          <t>2026-01-31</t>
        </is>
      </c>
      <c r="B60" s="2" t="inlineStr">
        <is>
          <t>ニトリ</t>
        </is>
      </c>
      <c r="C60" s="2" t="inlineStr">
        <is>
          <t>日用品・インテリア</t>
        </is>
      </c>
      <c r="D60" s="3" t="n">
        <v>1569</v>
      </c>
      <c r="E60" s="2" t="inlineStr">
        <is>
          <t>2月</t>
        </is>
      </c>
      <c r="F60" s="2" t="inlineStr">
        <is>
          <t>◎</t>
        </is>
      </c>
    </row>
    <row r="61">
      <c r="A61" s="2" t="inlineStr">
        <is>
          <t>2026-01-31</t>
        </is>
      </c>
      <c r="B61" s="2" t="inlineStr">
        <is>
          <t>イオンリテール</t>
        </is>
      </c>
      <c r="C61" s="2" t="inlineStr">
        <is>
          <t>スーパー・食料品</t>
        </is>
      </c>
      <c r="D61" s="3" t="n">
        <v>663</v>
      </c>
      <c r="E61" s="2" t="inlineStr">
        <is>
          <t>2月</t>
        </is>
      </c>
      <c r="F61" s="2" t="inlineStr">
        <is>
          <t>◎</t>
        </is>
      </c>
    </row>
    <row r="62">
      <c r="A62" s="2" t="inlineStr">
        <is>
          <t>2026-01-31</t>
        </is>
      </c>
      <c r="B62" s="2" t="inlineStr">
        <is>
          <t>イオンリテール</t>
        </is>
      </c>
      <c r="C62" s="2" t="inlineStr">
        <is>
          <t>スーパー・食料品</t>
        </is>
      </c>
      <c r="D62" s="3" t="n">
        <v>3288</v>
      </c>
      <c r="E62" s="2" t="inlineStr">
        <is>
          <t>2月</t>
        </is>
      </c>
      <c r="F62" s="2" t="inlineStr">
        <is>
          <t>◎</t>
        </is>
      </c>
    </row>
    <row r="63">
      <c r="A63" s="2" t="inlineStr">
        <is>
          <t>2026-01-31</t>
        </is>
      </c>
      <c r="B63" s="2" t="inlineStr">
        <is>
          <t>ドン‧キホーテ⻄宮店</t>
        </is>
      </c>
      <c r="C63" s="2" t="inlineStr">
        <is>
          <t>日用品・インテリア</t>
        </is>
      </c>
      <c r="D63" s="3" t="n">
        <v>1501</v>
      </c>
      <c r="E63" s="2" t="inlineStr">
        <is>
          <t>2月</t>
        </is>
      </c>
      <c r="F63" s="2" t="inlineStr">
        <is>
          <t>◎</t>
        </is>
      </c>
    </row>
    <row r="64">
      <c r="A64" s="2" t="inlineStr">
        <is>
          <t>2026-01-28</t>
        </is>
      </c>
      <c r="B64" s="2" t="inlineStr">
        <is>
          <t>関⻄電⼒ 電気</t>
        </is>
      </c>
      <c r="C64" s="2" t="inlineStr">
        <is>
          <t>水道光熱費</t>
        </is>
      </c>
      <c r="D64" s="3" t="n">
        <v>16355</v>
      </c>
      <c r="E64" s="2" t="inlineStr">
        <is>
          <t>3月</t>
        </is>
      </c>
      <c r="F64" s="2" t="inlineStr">
        <is>
          <t>２６年 １⽉ ◎</t>
        </is>
      </c>
    </row>
    <row r="65">
      <c r="A65" s="2" t="inlineStr">
        <is>
          <t>2026-02-01</t>
        </is>
      </c>
      <c r="B65" s="2" t="inlineStr">
        <is>
          <t>ミント神⼾</t>
        </is>
      </c>
      <c r="C65" s="2" t="inlineStr">
        <is>
          <t>ショッピングモール・百貨店</t>
        </is>
      </c>
      <c r="D65" s="3" t="n">
        <v>830</v>
      </c>
      <c r="E65" s="2" t="inlineStr">
        <is>
          <t>3月</t>
        </is>
      </c>
      <c r="F65" s="2" t="inlineStr">
        <is>
          <t>◎</t>
        </is>
      </c>
    </row>
    <row r="66">
      <c r="A66" s="2" t="inlineStr">
        <is>
          <t>2026-02-01</t>
        </is>
      </c>
      <c r="B66" s="2" t="inlineStr">
        <is>
          <t>神⼾阪急</t>
        </is>
      </c>
      <c r="C66" s="2" t="inlineStr">
        <is>
          <t>ショッピングモール・百貨店</t>
        </is>
      </c>
      <c r="D66" s="3" t="n">
        <v>1279</v>
      </c>
      <c r="E66" s="2" t="inlineStr">
        <is>
          <t>3月</t>
        </is>
      </c>
      <c r="F66" s="2" t="inlineStr">
        <is>
          <t>◎</t>
        </is>
      </c>
    </row>
    <row r="67">
      <c r="A67" s="2" t="inlineStr">
        <is>
          <t>2026-02-01</t>
        </is>
      </c>
      <c r="B67" s="2" t="inlineStr">
        <is>
          <t>神⼾阪急</t>
        </is>
      </c>
      <c r="C67" s="2" t="inlineStr">
        <is>
          <t>ショッピングモール・百貨店</t>
        </is>
      </c>
      <c r="D67" s="3" t="n">
        <v>945</v>
      </c>
      <c r="E67" s="2" t="inlineStr">
        <is>
          <t>3月</t>
        </is>
      </c>
      <c r="F67" s="2" t="inlineStr">
        <is>
          <t>◎</t>
        </is>
      </c>
    </row>
    <row r="68">
      <c r="A68" s="2" t="inlineStr">
        <is>
          <t>2026-02-01</t>
        </is>
      </c>
      <c r="B68" s="2" t="inlineStr">
        <is>
          <t>神⼾阪急</t>
        </is>
      </c>
      <c r="C68" s="2" t="inlineStr">
        <is>
          <t>ショッピングモール・百貨店</t>
        </is>
      </c>
      <c r="D68" s="3" t="n">
        <v>1051</v>
      </c>
      <c r="E68" s="2" t="inlineStr">
        <is>
          <t>3月</t>
        </is>
      </c>
      <c r="F68" s="2" t="inlineStr">
        <is>
          <t>◎</t>
        </is>
      </c>
    </row>
    <row r="69">
      <c r="A69" s="2" t="inlineStr">
        <is>
          <t>2026-02-01</t>
        </is>
      </c>
      <c r="B69" s="2" t="inlineStr">
        <is>
          <t>ダニエル本店</t>
        </is>
      </c>
      <c r="C69" s="2" t="inlineStr">
        <is>
          <t>外食・カフェ</t>
        </is>
      </c>
      <c r="D69" s="3" t="n">
        <v>2500</v>
      </c>
      <c r="E69" s="2" t="inlineStr">
        <is>
          <t>3月</t>
        </is>
      </c>
      <c r="F69" s="2" t="inlineStr">
        <is>
          <t>◎</t>
        </is>
      </c>
    </row>
    <row r="70">
      <c r="A70" s="2" t="inlineStr">
        <is>
          <t>2026-02-01</t>
        </is>
      </c>
      <c r="B70" s="2" t="inlineStr">
        <is>
          <t>イオンモール神⼾南</t>
        </is>
      </c>
      <c r="C70" s="2" t="inlineStr">
        <is>
          <t>ショッピングモール・百貨店</t>
        </is>
      </c>
      <c r="D70" s="3" t="n">
        <v>340</v>
      </c>
      <c r="E70" s="2" t="inlineStr">
        <is>
          <t>3月</t>
        </is>
      </c>
      <c r="F70" s="2" t="inlineStr">
        <is>
          <t>◎</t>
        </is>
      </c>
    </row>
    <row r="71">
      <c r="A71" s="2" t="inlineStr">
        <is>
          <t>2026-02-04</t>
        </is>
      </c>
      <c r="B71" s="2" t="inlineStr">
        <is>
          <t>ダイエー</t>
        </is>
      </c>
      <c r="C71" s="2" t="inlineStr">
        <is>
          <t>スーパー・食料品</t>
        </is>
      </c>
      <c r="D71" s="3" t="n">
        <v>2041</v>
      </c>
      <c r="E71" s="2" t="inlineStr">
        <is>
          <t>3月</t>
        </is>
      </c>
      <c r="F71" s="2" t="inlineStr">
        <is>
          <t>◎</t>
        </is>
      </c>
    </row>
    <row r="72">
      <c r="A72" s="2" t="inlineStr">
        <is>
          <t>2026-02-05</t>
        </is>
      </c>
      <c r="B72" s="2" t="inlineStr">
        <is>
          <t>焼⾁きんぐ ⻄宮鞍掛店</t>
        </is>
      </c>
      <c r="C72" s="2" t="inlineStr">
        <is>
          <t>外食・カフェ</t>
        </is>
      </c>
      <c r="D72" s="3" t="n">
        <v>7436</v>
      </c>
      <c r="E72" s="2" t="inlineStr">
        <is>
          <t>3月</t>
        </is>
      </c>
      <c r="F72" s="2" t="inlineStr">
        <is>
          <t>◎</t>
        </is>
      </c>
    </row>
    <row r="73">
      <c r="A73" s="2" t="inlineStr">
        <is>
          <t>2026-02-06</t>
        </is>
      </c>
      <c r="B73" s="2" t="inlineStr">
        <is>
          <t>ダイエー</t>
        </is>
      </c>
      <c r="C73" s="2" t="inlineStr">
        <is>
          <t>スーパー・食料品</t>
        </is>
      </c>
      <c r="D73" s="3" t="n">
        <v>636</v>
      </c>
      <c r="E73" s="2" t="inlineStr">
        <is>
          <t>3月</t>
        </is>
      </c>
      <c r="F73" s="2" t="inlineStr">
        <is>
          <t>◎</t>
        </is>
      </c>
    </row>
    <row r="74">
      <c r="A74" s="2" t="inlineStr">
        <is>
          <t>2026-02-07</t>
        </is>
      </c>
      <c r="B74" s="2" t="inlineStr">
        <is>
          <t>ルクア⼤阪∕ＮＦＣ</t>
        </is>
      </c>
      <c r="C74" s="2" t="inlineStr">
        <is>
          <t>ショッピングモール・百貨店</t>
        </is>
      </c>
      <c r="D74" s="3" t="n">
        <v>980</v>
      </c>
      <c r="E74" s="2" t="inlineStr">
        <is>
          <t>3月</t>
        </is>
      </c>
      <c r="F74" s="2" t="inlineStr">
        <is>
          <t>◎</t>
        </is>
      </c>
    </row>
    <row r="75">
      <c r="A75" s="2" t="inlineStr">
        <is>
          <t>2026-02-08</t>
        </is>
      </c>
      <c r="B75" s="2" t="inlineStr">
        <is>
          <t>阪急百貨店</t>
        </is>
      </c>
      <c r="C75" s="2" t="inlineStr">
        <is>
          <t>ショッピングモール・百貨店</t>
        </is>
      </c>
      <c r="D75" s="3" t="n">
        <v>219</v>
      </c>
      <c r="E75" s="2" t="inlineStr">
        <is>
          <t>3月</t>
        </is>
      </c>
      <c r="F75" s="2" t="inlineStr">
        <is>
          <t>◎</t>
        </is>
      </c>
    </row>
    <row r="76">
      <c r="A76" s="2" t="inlineStr">
        <is>
          <t>2026-02-08</t>
        </is>
      </c>
      <c r="B76" s="2" t="inlineStr">
        <is>
          <t>阪急百貨店</t>
        </is>
      </c>
      <c r="C76" s="2" t="inlineStr">
        <is>
          <t>ショッピングモール・百貨店</t>
        </is>
      </c>
      <c r="D76" s="3" t="n">
        <v>1361</v>
      </c>
      <c r="E76" s="2" t="inlineStr">
        <is>
          <t>3月</t>
        </is>
      </c>
      <c r="F76" s="2" t="inlineStr">
        <is>
          <t>◎</t>
        </is>
      </c>
    </row>
    <row r="77">
      <c r="A77" s="2" t="inlineStr">
        <is>
          <t>2026-02-10</t>
        </is>
      </c>
      <c r="B77" s="2" t="inlineStr">
        <is>
          <t>ダイエー</t>
        </is>
      </c>
      <c r="C77" s="2" t="inlineStr">
        <is>
          <t>スーパー・食料品</t>
        </is>
      </c>
      <c r="D77" s="3" t="n">
        <v>1252</v>
      </c>
      <c r="E77" s="2" t="inlineStr">
        <is>
          <t>3月</t>
        </is>
      </c>
      <c r="F77" s="2" t="inlineStr">
        <is>
          <t>◎</t>
        </is>
      </c>
    </row>
    <row r="78">
      <c r="A78" s="2" t="inlineStr">
        <is>
          <t>2026-02-12</t>
        </is>
      </c>
      <c r="B78" s="2" t="inlineStr">
        <is>
          <t>関⻄電⼒ガス</t>
        </is>
      </c>
      <c r="C78" s="2" t="inlineStr">
        <is>
          <t>水道光熱費</t>
        </is>
      </c>
      <c r="D78" s="3" t="n">
        <v>6865</v>
      </c>
      <c r="E78" s="2" t="inlineStr">
        <is>
          <t>3月</t>
        </is>
      </c>
      <c r="F78" s="2" t="inlineStr">
        <is>
          <t>２６年 ２⽉ ◎</t>
        </is>
      </c>
    </row>
    <row r="79">
      <c r="A79" s="2" t="inlineStr">
        <is>
          <t>2026-02-14</t>
        </is>
      </c>
      <c r="B79" s="2" t="inlineStr">
        <is>
          <t>ライフ夙川店</t>
        </is>
      </c>
      <c r="C79" s="2" t="inlineStr">
        <is>
          <t>スーパー・食料品</t>
        </is>
      </c>
      <c r="D79" s="3" t="n">
        <v>2312</v>
      </c>
      <c r="E79" s="2" t="inlineStr">
        <is>
          <t>3月</t>
        </is>
      </c>
      <c r="F79" s="2" t="inlineStr">
        <is>
          <t>◎</t>
        </is>
      </c>
    </row>
    <row r="80">
      <c r="A80" s="2" t="inlineStr">
        <is>
          <t>2026-02-14</t>
        </is>
      </c>
      <c r="B80" s="2" t="inlineStr">
        <is>
          <t>ＫＩＴＴＥ⼤阪</t>
        </is>
      </c>
      <c r="C80" s="2" t="inlineStr">
        <is>
          <t>ショッピングモール・百貨店</t>
        </is>
      </c>
      <c r="D80" s="3" t="n">
        <v>2950</v>
      </c>
      <c r="E80" s="2" t="inlineStr">
        <is>
          <t>3月</t>
        </is>
      </c>
      <c r="F80" s="2" t="inlineStr">
        <is>
          <t>◎</t>
        </is>
      </c>
    </row>
    <row r="81">
      <c r="A81" s="2" t="inlineStr">
        <is>
          <t>2026-02-15</t>
        </is>
      </c>
      <c r="B81" s="2" t="inlineStr">
        <is>
          <t>ライフ夙川店</t>
        </is>
      </c>
      <c r="C81" s="2" t="inlineStr">
        <is>
          <t>スーパー・食料品</t>
        </is>
      </c>
      <c r="D81" s="3" t="n">
        <v>2752</v>
      </c>
      <c r="E81" s="2" t="inlineStr">
        <is>
          <t>3月</t>
        </is>
      </c>
      <c r="F81" s="2" t="inlineStr">
        <is>
          <t>◎</t>
        </is>
      </c>
    </row>
    <row r="82">
      <c r="A82" s="2" t="inlineStr">
        <is>
          <t>2026-02-16</t>
        </is>
      </c>
      <c r="B82" s="2" t="inlineStr">
        <is>
          <t>ダイエー</t>
        </is>
      </c>
      <c r="C82" s="2" t="inlineStr">
        <is>
          <t>スーパー・食料品</t>
        </is>
      </c>
      <c r="D82" s="3" t="n">
        <v>1531</v>
      </c>
      <c r="E82" s="2" t="inlineStr">
        <is>
          <t>3月</t>
        </is>
      </c>
      <c r="F82" s="2" t="inlineStr">
        <is>
          <t>◎</t>
        </is>
      </c>
    </row>
    <row r="83">
      <c r="A83" s="2" t="inlineStr">
        <is>
          <t>2026-02-22</t>
        </is>
      </c>
      <c r="B83" s="2" t="inlineStr">
        <is>
          <t>セブン－イレブン</t>
        </is>
      </c>
      <c r="C83" s="2" t="inlineStr">
        <is>
          <t>コンビニ</t>
        </is>
      </c>
      <c r="D83" s="3" t="n">
        <v>373</v>
      </c>
      <c r="E83" s="2" t="inlineStr">
        <is>
          <t>3月</t>
        </is>
      </c>
      <c r="F83" s="2" t="inlineStr">
        <is>
          <t>◎</t>
        </is>
      </c>
    </row>
    <row r="84">
      <c r="A84" s="2" t="inlineStr">
        <is>
          <t>2026-02-22</t>
        </is>
      </c>
      <c r="B84" s="2" t="inlineStr">
        <is>
          <t>ファレットフル－ル⻄宮北⼝店∕ＮＦＣ</t>
        </is>
      </c>
      <c r="C84" s="2" t="inlineStr">
        <is>
          <t>外食・カフェ</t>
        </is>
      </c>
      <c r="D84" s="3" t="n">
        <v>2331</v>
      </c>
      <c r="E84" s="2" t="inlineStr">
        <is>
          <t>3月</t>
        </is>
      </c>
      <c r="F84" s="2" t="inlineStr">
        <is>
          <t>◎</t>
        </is>
      </c>
    </row>
    <row r="85">
      <c r="A85" s="2" t="inlineStr">
        <is>
          <t>2026-02-23</t>
        </is>
      </c>
      <c r="B85" s="2" t="inlineStr">
        <is>
          <t>ロイヤルホームセンター⻄宮中央店</t>
        </is>
      </c>
      <c r="C85" s="2" t="inlineStr">
        <is>
          <t>日用品・インテリア</t>
        </is>
      </c>
      <c r="D85" s="3" t="n">
        <v>6627</v>
      </c>
      <c r="E85" s="2" t="inlineStr">
        <is>
          <t>3月</t>
        </is>
      </c>
      <c r="F85" s="2" t="inlineStr">
        <is>
          <t>◎</t>
        </is>
      </c>
    </row>
    <row r="86">
      <c r="A86" s="2" t="inlineStr">
        <is>
          <t>2026-02-23</t>
        </is>
      </c>
      <c r="B86" s="2" t="inlineStr">
        <is>
          <t>ロイヤルホームセンター⻄宮中央店</t>
        </is>
      </c>
      <c r="C86" s="2" t="inlineStr">
        <is>
          <t>日用品・インテリア</t>
        </is>
      </c>
      <c r="D86" s="3" t="n">
        <v>176</v>
      </c>
      <c r="E86" s="2" t="inlineStr">
        <is>
          <t>3月</t>
        </is>
      </c>
      <c r="F86" s="2" t="inlineStr">
        <is>
          <t>◎</t>
        </is>
      </c>
    </row>
    <row r="87">
      <c r="A87" s="2" t="inlineStr">
        <is>
          <t>2026-02-23</t>
        </is>
      </c>
      <c r="B87" s="2" t="inlineStr">
        <is>
          <t>ロイヤルホームセンター⻄宮中央店</t>
        </is>
      </c>
      <c r="C87" s="2" t="inlineStr">
        <is>
          <t>日用品・インテリア</t>
        </is>
      </c>
      <c r="D87" s="3" t="n">
        <v>4052</v>
      </c>
      <c r="E87" s="2" t="inlineStr">
        <is>
          <t>3月</t>
        </is>
      </c>
      <c r="F87" s="2" t="inlineStr">
        <is>
          <t>◎</t>
        </is>
      </c>
    </row>
    <row r="88">
      <c r="A88" s="2" t="inlineStr">
        <is>
          <t>2026-02-23</t>
        </is>
      </c>
      <c r="B88" s="2" t="inlineStr">
        <is>
          <t>ダイソー∕ＮＦＣ</t>
        </is>
      </c>
      <c r="C88" s="2" t="inlineStr">
        <is>
          <t>日用品・インテリア</t>
        </is>
      </c>
      <c r="D88" s="3" t="n">
        <v>440</v>
      </c>
      <c r="E88" s="2" t="inlineStr">
        <is>
          <t>3月</t>
        </is>
      </c>
      <c r="F88" s="2" t="inlineStr">
        <is>
          <t>◎</t>
        </is>
      </c>
    </row>
    <row r="89">
      <c r="A89" s="2" t="inlineStr">
        <is>
          <t>2026-02-27</t>
        </is>
      </c>
      <c r="B89" s="2" t="inlineStr">
        <is>
          <t>ライフ夙川店</t>
        </is>
      </c>
      <c r="C89" s="2" t="inlineStr">
        <is>
          <t>スーパー・食料品</t>
        </is>
      </c>
      <c r="D89" s="3" t="n">
        <v>1366</v>
      </c>
      <c r="E89" s="2" t="inlineStr">
        <is>
          <t>3月</t>
        </is>
      </c>
      <c r="F89" s="2" t="inlineStr">
        <is>
          <t>◎</t>
        </is>
      </c>
    </row>
    <row r="90">
      <c r="A90" s="2" t="inlineStr">
        <is>
          <t>2026-02-27</t>
        </is>
      </c>
      <c r="B90" s="2" t="inlineStr">
        <is>
          <t>関⻄スーパー 苦楽園店</t>
        </is>
      </c>
      <c r="C90" s="2" t="inlineStr">
        <is>
          <t>スーパー・食料品</t>
        </is>
      </c>
      <c r="D90" s="3" t="n">
        <v>347</v>
      </c>
      <c r="E90" s="2" t="inlineStr">
        <is>
          <t>3月</t>
        </is>
      </c>
      <c r="F90" s="2" t="inlineStr">
        <is>
          <t>◎</t>
        </is>
      </c>
    </row>
    <row r="91">
      <c r="A91" s="2" t="inlineStr">
        <is>
          <t>2026-02-28</t>
        </is>
      </c>
      <c r="B91" s="2" t="inlineStr">
        <is>
          <t>ローソン</t>
        </is>
      </c>
      <c r="C91" s="2" t="inlineStr">
        <is>
          <t>コンビニ</t>
        </is>
      </c>
      <c r="D91" s="3" t="n">
        <v>532</v>
      </c>
      <c r="E91" s="2" t="inlineStr">
        <is>
          <t>3月</t>
        </is>
      </c>
      <c r="F91" s="2" t="inlineStr">
        <is>
          <t>◎</t>
        </is>
      </c>
    </row>
    <row r="92">
      <c r="A92" s="2" t="inlineStr">
        <is>
          <t>2026-02-28</t>
        </is>
      </c>
      <c r="B92" s="2" t="inlineStr">
        <is>
          <t>Ａｍａｚｏｎプライム会費</t>
        </is>
      </c>
      <c r="C92" s="2" t="inlineStr">
        <is>
          <t>通信費・サブスク</t>
        </is>
      </c>
      <c r="D92" s="3" t="n">
        <v>600</v>
      </c>
      <c r="E92" s="2" t="inlineStr">
        <is>
          <t>3月</t>
        </is>
      </c>
      <c r="F92" s="2" t="inlineStr">
        <is>
          <t>◎</t>
        </is>
      </c>
    </row>
    <row r="93">
      <c r="A93" s="2" t="inlineStr">
        <is>
          <t>2026-02-24</t>
        </is>
      </c>
      <c r="B93" s="2" t="inlineStr">
        <is>
          <t>タイムズカー</t>
        </is>
      </c>
      <c r="C93" s="2" t="inlineStr">
        <is>
          <t>交通費</t>
        </is>
      </c>
      <c r="D93" s="3" t="n">
        <v>660</v>
      </c>
      <c r="E93" s="2" t="inlineStr">
        <is>
          <t>4月</t>
        </is>
      </c>
      <c r="F93" s="2" t="inlineStr">
        <is>
          <t>２０２６０２カ―ドハツコウリヨウ ◎</t>
        </is>
      </c>
    </row>
    <row r="94">
      <c r="A94" s="2" t="inlineStr">
        <is>
          <t>2026-02-26</t>
        </is>
      </c>
      <c r="B94" s="2" t="inlineStr">
        <is>
          <t>関⻄電⼒ 電気</t>
        </is>
      </c>
      <c r="C94" s="2" t="inlineStr">
        <is>
          <t>水道光熱費</t>
        </is>
      </c>
      <c r="D94" s="3" t="n">
        <v>10992</v>
      </c>
      <c r="E94" s="2" t="inlineStr">
        <is>
          <t>4月</t>
        </is>
      </c>
      <c r="F94" s="2" t="inlineStr">
        <is>
          <t>２６年 ２⽉ ◎</t>
        </is>
      </c>
    </row>
    <row r="95">
      <c r="A95" s="2" t="inlineStr">
        <is>
          <t>2026-03-01</t>
        </is>
      </c>
      <c r="B95" s="2" t="inlineStr">
        <is>
          <t>セブン－イレブン</t>
        </is>
      </c>
      <c r="C95" s="2" t="inlineStr">
        <is>
          <t>コンビニ</t>
        </is>
      </c>
      <c r="D95" s="3" t="n">
        <v>159</v>
      </c>
      <c r="E95" s="2" t="inlineStr">
        <is>
          <t>4月</t>
        </is>
      </c>
      <c r="F95" s="2" t="inlineStr">
        <is>
          <t>◎</t>
        </is>
      </c>
    </row>
    <row r="96">
      <c r="A96" s="2" t="inlineStr">
        <is>
          <t>2026-03-01</t>
        </is>
      </c>
      <c r="B96" s="2" t="inlineStr">
        <is>
          <t>Ｓｑｕａｒｅ</t>
        </is>
      </c>
      <c r="C96" s="2" t="inlineStr">
        <is>
          <t>外食・カフェ</t>
        </is>
      </c>
      <c r="D96" s="3" t="n">
        <v>1441</v>
      </c>
      <c r="E96" s="2" t="inlineStr">
        <is>
          <t>4月</t>
        </is>
      </c>
      <c r="F96" s="2" t="inlineStr">
        <is>
          <t>ＳＱ＊Ｂｌｕｅ Ｂｏｔｔｌｅ Ｃｏｆｆｅ ◎</t>
        </is>
      </c>
    </row>
    <row r="97">
      <c r="A97" s="2" t="inlineStr">
        <is>
          <t>2026-03-01</t>
        </is>
      </c>
      <c r="B97" s="2" t="inlineStr">
        <is>
          <t>ＫＩＮＯＫＵＮＩＹＡｅｎｔｒｅｅさんちか</t>
        </is>
      </c>
      <c r="C97" s="2" t="inlineStr">
        <is>
          <t>外食・カフェ</t>
        </is>
      </c>
      <c r="D97" s="3" t="n">
        <v>496</v>
      </c>
      <c r="E97" s="2" t="inlineStr">
        <is>
          <t>4月</t>
        </is>
      </c>
      <c r="F97" s="2" t="inlineStr">
        <is>
          <t>◎</t>
        </is>
      </c>
    </row>
    <row r="98">
      <c r="A98" s="2" t="inlineStr">
        <is>
          <t>2026-03-01</t>
        </is>
      </c>
      <c r="B98" s="2" t="inlineStr">
        <is>
          <t>ぎょうざの店 ひょうたん</t>
        </is>
      </c>
      <c r="C98" s="2" t="inlineStr">
        <is>
          <t>外食・カフェ</t>
        </is>
      </c>
      <c r="D98" s="3" t="n">
        <v>2610</v>
      </c>
      <c r="E98" s="2" t="inlineStr">
        <is>
          <t>4月</t>
        </is>
      </c>
      <c r="F98" s="2" t="inlineStr">
        <is>
          <t>◎</t>
        </is>
      </c>
    </row>
    <row r="99">
      <c r="A99" s="2" t="inlineStr">
        <is>
          <t>2026-03-03</t>
        </is>
      </c>
      <c r="B99" s="2" t="inlineStr">
        <is>
          <t>いかり 夙川店</t>
        </is>
      </c>
      <c r="C99" s="2" t="inlineStr">
        <is>
          <t>スーパー・食料品</t>
        </is>
      </c>
      <c r="D99" s="3" t="n">
        <v>469</v>
      </c>
      <c r="E99" s="2" t="inlineStr">
        <is>
          <t>4月</t>
        </is>
      </c>
      <c r="F99" s="2" t="inlineStr">
        <is>
          <t>◎</t>
        </is>
      </c>
    </row>
    <row r="100">
      <c r="A100" s="2" t="inlineStr">
        <is>
          <t>2026-03-06</t>
        </is>
      </c>
      <c r="B100" s="2" t="inlineStr">
        <is>
          <t>ローソン</t>
        </is>
      </c>
      <c r="C100" s="2" t="inlineStr">
        <is>
          <t>コンビニ</t>
        </is>
      </c>
      <c r="D100" s="3" t="n">
        <v>432</v>
      </c>
      <c r="E100" s="2" t="inlineStr">
        <is>
          <t>4月</t>
        </is>
      </c>
      <c r="F100" s="2" t="inlineStr">
        <is>
          <t>◎</t>
        </is>
      </c>
    </row>
    <row r="101">
      <c r="A101" s="2" t="inlineStr">
        <is>
          <t>2026-03-06</t>
        </is>
      </c>
      <c r="B101" s="2" t="inlineStr">
        <is>
          <t>スシロー</t>
        </is>
      </c>
      <c r="C101" s="2" t="inlineStr">
        <is>
          <t>外食・カフェ</t>
        </is>
      </c>
      <c r="D101" s="3" t="n">
        <v>3400</v>
      </c>
      <c r="E101" s="2" t="inlineStr">
        <is>
          <t>4月</t>
        </is>
      </c>
      <c r="F101" s="2" t="inlineStr">
        <is>
          <t>◎</t>
        </is>
      </c>
    </row>
    <row r="102">
      <c r="A102" s="2" t="inlineStr">
        <is>
          <t>2026-03-07</t>
        </is>
      </c>
      <c r="B102" s="2" t="inlineStr">
        <is>
          <t>ローソン</t>
        </is>
      </c>
      <c r="C102" s="2" t="inlineStr">
        <is>
          <t>コンビニ</t>
        </is>
      </c>
      <c r="D102" s="3" t="n">
        <v>371</v>
      </c>
      <c r="E102" s="2" t="inlineStr">
        <is>
          <t>4月</t>
        </is>
      </c>
      <c r="F102" s="2" t="inlineStr">
        <is>
          <t>◎</t>
        </is>
      </c>
    </row>
    <row r="103">
      <c r="A103" s="2" t="inlineStr">
        <is>
          <t>2026-03-07</t>
        </is>
      </c>
      <c r="B103" s="2" t="inlineStr">
        <is>
          <t>神⼾阪急</t>
        </is>
      </c>
      <c r="C103" s="2" t="inlineStr">
        <is>
          <t>ショッピングモール・百貨店</t>
        </is>
      </c>
      <c r="D103" s="3" t="n">
        <v>2101</v>
      </c>
      <c r="E103" s="2" t="inlineStr">
        <is>
          <t>4月</t>
        </is>
      </c>
      <c r="F103" s="2" t="inlineStr">
        <is>
          <t>◎</t>
        </is>
      </c>
    </row>
    <row r="104">
      <c r="A104" s="2" t="inlineStr">
        <is>
          <t>2026-03-07</t>
        </is>
      </c>
      <c r="B104" s="2" t="inlineStr">
        <is>
          <t>神⼾阪急</t>
        </is>
      </c>
      <c r="C104" s="2" t="inlineStr">
        <is>
          <t>ショッピングモール・百貨店</t>
        </is>
      </c>
      <c r="D104" s="3" t="n">
        <v>378</v>
      </c>
      <c r="E104" s="2" t="inlineStr">
        <is>
          <t>4月</t>
        </is>
      </c>
      <c r="F104" s="2" t="inlineStr">
        <is>
          <t>◎</t>
        </is>
      </c>
    </row>
    <row r="105">
      <c r="A105" s="2" t="inlineStr">
        <is>
          <t>2026-03-07</t>
        </is>
      </c>
      <c r="B105" s="2" t="inlineStr">
        <is>
          <t>神⼾阪急</t>
        </is>
      </c>
      <c r="C105" s="2" t="inlineStr">
        <is>
          <t>ショッピングモール・百貨店</t>
        </is>
      </c>
      <c r="D105" s="3" t="n">
        <v>609</v>
      </c>
      <c r="E105" s="2" t="inlineStr">
        <is>
          <t>4月</t>
        </is>
      </c>
      <c r="F105" s="2" t="inlineStr">
        <is>
          <t>◎</t>
        </is>
      </c>
    </row>
    <row r="106">
      <c r="A106" s="2" t="inlineStr">
        <is>
          <t>2026-03-07</t>
        </is>
      </c>
      <c r="B106" s="2" t="inlineStr">
        <is>
          <t>シネ‧リーブル神⼾</t>
        </is>
      </c>
      <c r="C106" s="2" t="inlineStr">
        <is>
          <t>レジャー・娯楽</t>
        </is>
      </c>
      <c r="D106" s="3" t="n">
        <v>1250</v>
      </c>
      <c r="E106" s="2" t="inlineStr">
        <is>
          <t>4月</t>
        </is>
      </c>
      <c r="F106" s="2" t="inlineStr">
        <is>
          <t>◎</t>
        </is>
      </c>
    </row>
    <row r="107">
      <c r="A107" s="2" t="inlineStr">
        <is>
          <t>2026-03-08</t>
        </is>
      </c>
      <c r="B107" s="2" t="inlineStr">
        <is>
          <t>ホームセンターコーナン ⻄宮今津店</t>
        </is>
      </c>
      <c r="C107" s="2" t="inlineStr">
        <is>
          <t>日用品・インテリア</t>
        </is>
      </c>
      <c r="D107" s="3" t="n">
        <v>2719</v>
      </c>
      <c r="E107" s="2" t="inlineStr">
        <is>
          <t>4月</t>
        </is>
      </c>
      <c r="F107" s="2" t="inlineStr">
        <is>
          <t>◎</t>
        </is>
      </c>
    </row>
    <row r="108">
      <c r="A108" s="2" t="inlineStr">
        <is>
          <t>2026-03-10</t>
        </is>
      </c>
      <c r="B108" s="2" t="inlineStr">
        <is>
          <t>ＡＭＡＺＯＮ．ＣＯ．ＪＰ</t>
        </is>
      </c>
      <c r="C108" s="2" t="inlineStr">
        <is>
          <t>ネットショッピング</t>
        </is>
      </c>
      <c r="D108" s="3" t="n">
        <v>6990</v>
      </c>
      <c r="E108" s="2" t="inlineStr">
        <is>
          <t>4月</t>
        </is>
      </c>
      <c r="F108" s="2" t="inlineStr">
        <is>
          <t>◎</t>
        </is>
      </c>
    </row>
    <row r="109">
      <c r="A109" s="2" t="inlineStr">
        <is>
          <t>2026-03-10</t>
        </is>
      </c>
      <c r="B109" s="2" t="inlineStr">
        <is>
          <t>ＫＩＴＴＥ⼤阪</t>
        </is>
      </c>
      <c r="C109" s="2" t="inlineStr">
        <is>
          <t>ショッピングモール・百貨店</t>
        </is>
      </c>
      <c r="D109" s="3" t="n">
        <v>6020</v>
      </c>
      <c r="E109" s="2" t="inlineStr">
        <is>
          <t>4月</t>
        </is>
      </c>
      <c r="F109" s="2" t="inlineStr">
        <is>
          <t>◎</t>
        </is>
      </c>
    </row>
    <row r="110">
      <c r="A110" s="2" t="inlineStr">
        <is>
          <t>2026-03-12</t>
        </is>
      </c>
      <c r="B110" s="2" t="inlineStr">
        <is>
          <t>ローソン</t>
        </is>
      </c>
      <c r="C110" s="2" t="inlineStr">
        <is>
          <t>コンビニ</t>
        </is>
      </c>
      <c r="D110" s="3" t="n">
        <v>300</v>
      </c>
      <c r="E110" s="2" t="inlineStr">
        <is>
          <t>4月</t>
        </is>
      </c>
      <c r="F110" s="2" t="inlineStr">
        <is>
          <t>◎</t>
        </is>
      </c>
    </row>
    <row r="111">
      <c r="A111" s="2" t="inlineStr">
        <is>
          <t>2026-03-12</t>
        </is>
      </c>
      <c r="B111" s="2" t="inlineStr">
        <is>
          <t>関⻄電⼒ガス</t>
        </is>
      </c>
      <c r="C111" s="2" t="inlineStr">
        <is>
          <t>水道光熱費</t>
        </is>
      </c>
      <c r="D111" s="3" t="n">
        <v>6916</v>
      </c>
      <c r="E111" s="2" t="inlineStr">
        <is>
          <t>4月</t>
        </is>
      </c>
      <c r="F111" s="2" t="inlineStr">
        <is>
          <t>２６年 ３⽉ ◎</t>
        </is>
      </c>
    </row>
    <row r="112">
      <c r="A112" s="2" t="inlineStr">
        <is>
          <t>2026-03-14</t>
        </is>
      </c>
      <c r="B112" s="2" t="inlineStr">
        <is>
          <t>星乃珈琲店 ⻄宮店∕ＮＦＣ</t>
        </is>
      </c>
      <c r="C112" s="2" t="inlineStr">
        <is>
          <t>外食・カフェ</t>
        </is>
      </c>
      <c r="D112" s="3" t="n">
        <v>3390</v>
      </c>
      <c r="E112" s="2" t="inlineStr">
        <is>
          <t>4月</t>
        </is>
      </c>
      <c r="F112" s="2" t="inlineStr">
        <is>
          <t>◎</t>
        </is>
      </c>
    </row>
    <row r="113">
      <c r="A113" s="2" t="inlineStr">
        <is>
          <t>2026-03-14</t>
        </is>
      </c>
      <c r="B113" s="2" t="inlineStr">
        <is>
          <t>イズミヤ</t>
        </is>
      </c>
      <c r="C113" s="2" t="inlineStr">
        <is>
          <t>スーパー・食料品</t>
        </is>
      </c>
      <c r="D113" s="3" t="n">
        <v>1193</v>
      </c>
      <c r="E113" s="2" t="inlineStr">
        <is>
          <t>4月</t>
        </is>
      </c>
      <c r="F113" s="2" t="inlineStr">
        <is>
          <t>◎</t>
        </is>
      </c>
    </row>
    <row r="114">
      <c r="A114" s="2" t="inlineStr">
        <is>
          <t>2026-03-14</t>
        </is>
      </c>
      <c r="B114" s="2" t="inlineStr">
        <is>
          <t>イズミヤ</t>
        </is>
      </c>
      <c r="C114" s="2" t="inlineStr">
        <is>
          <t>スーパー・食料品</t>
        </is>
      </c>
      <c r="D114" s="3" t="n">
        <v>225</v>
      </c>
      <c r="E114" s="2" t="inlineStr">
        <is>
          <t>4月</t>
        </is>
      </c>
      <c r="F114" s="2" t="inlineStr">
        <is>
          <t>◎</t>
        </is>
      </c>
    </row>
    <row r="115">
      <c r="A115" s="2" t="inlineStr">
        <is>
          <t>2026-03-14</t>
        </is>
      </c>
      <c r="B115" s="2" t="inlineStr">
        <is>
          <t>ユニクロ∕ＮＦＣ</t>
        </is>
      </c>
      <c r="C115" s="2" t="inlineStr">
        <is>
          <t>ファッション・美容</t>
        </is>
      </c>
      <c r="D115" s="3" t="n">
        <v>6300</v>
      </c>
      <c r="E115" s="2" t="inlineStr">
        <is>
          <t>4月</t>
        </is>
      </c>
      <c r="F115" s="2" t="inlineStr">
        <is>
          <t>◎</t>
        </is>
      </c>
    </row>
    <row r="116">
      <c r="A116" s="2" t="inlineStr">
        <is>
          <t>2026-03-14</t>
        </is>
      </c>
      <c r="B116" s="2" t="inlineStr">
        <is>
          <t>阪急⻄宮ガーデンズ</t>
        </is>
      </c>
      <c r="C116" s="2" t="inlineStr">
        <is>
          <t>ショッピングモール・百貨店</t>
        </is>
      </c>
      <c r="D116" s="3" t="n">
        <v>766</v>
      </c>
      <c r="E116" s="2" t="inlineStr">
        <is>
          <t>4月</t>
        </is>
      </c>
      <c r="F116" s="2" t="inlineStr">
        <is>
          <t>◎</t>
        </is>
      </c>
    </row>
    <row r="117">
      <c r="A117" s="2" t="inlineStr">
        <is>
          <t>2026-03-14</t>
        </is>
      </c>
      <c r="B117" s="2" t="inlineStr">
        <is>
          <t>阪急⻄宮ガーデンズ</t>
        </is>
      </c>
      <c r="C117" s="2" t="inlineStr">
        <is>
          <t>ショッピングモール・百貨店</t>
        </is>
      </c>
      <c r="D117" s="3" t="n">
        <v>4440</v>
      </c>
      <c r="E117" s="2" t="inlineStr">
        <is>
          <t>4月</t>
        </is>
      </c>
      <c r="F117" s="2" t="inlineStr">
        <is>
          <t>◎</t>
        </is>
      </c>
    </row>
    <row r="118">
      <c r="A118" s="2" t="inlineStr">
        <is>
          <t>2026-03-14</t>
        </is>
      </c>
      <c r="B118" s="2" t="inlineStr">
        <is>
          <t>阪急⻄宮ガーデンズ</t>
        </is>
      </c>
      <c r="C118" s="2" t="inlineStr">
        <is>
          <t>ショッピングモール・百貨店</t>
        </is>
      </c>
      <c r="D118" s="3" t="n">
        <v>302</v>
      </c>
      <c r="E118" s="2" t="inlineStr">
        <is>
          <t>4月</t>
        </is>
      </c>
      <c r="F118" s="2" t="inlineStr">
        <is>
          <t>◎</t>
        </is>
      </c>
    </row>
    <row r="119">
      <c r="A119" s="2" t="inlineStr">
        <is>
          <t>2026-03-14</t>
        </is>
      </c>
      <c r="B119" s="2" t="inlineStr">
        <is>
          <t>阪急⻄宮ガーデンズ</t>
        </is>
      </c>
      <c r="C119" s="2" t="inlineStr">
        <is>
          <t>ショッピングモール・百貨店</t>
        </is>
      </c>
      <c r="D119" s="3" t="n">
        <v>1404</v>
      </c>
      <c r="E119" s="2" t="inlineStr">
        <is>
          <t>4月</t>
        </is>
      </c>
      <c r="F119" s="2" t="inlineStr">
        <is>
          <t>◎</t>
        </is>
      </c>
    </row>
    <row r="120">
      <c r="A120" s="2" t="inlineStr">
        <is>
          <t>2026-03-14</t>
        </is>
      </c>
      <c r="B120" s="2" t="inlineStr">
        <is>
          <t>無印良品</t>
        </is>
      </c>
      <c r="C120" s="2" t="inlineStr">
        <is>
          <t>日用品・インテリア</t>
        </is>
      </c>
      <c r="D120" s="3" t="n">
        <v>1750</v>
      </c>
      <c r="E120" s="2" t="inlineStr">
        <is>
          <t>4月</t>
        </is>
      </c>
      <c r="F120" s="2" t="inlineStr">
        <is>
          <t>◎</t>
        </is>
      </c>
    </row>
    <row r="121">
      <c r="A121" s="2" t="inlineStr">
        <is>
          <t>2026-03-15</t>
        </is>
      </c>
      <c r="B121" s="2" t="inlineStr">
        <is>
          <t>セブン－イレブン</t>
        </is>
      </c>
      <c r="C121" s="2" t="inlineStr">
        <is>
          <t>コンビニ</t>
        </is>
      </c>
      <c r="D121" s="3" t="n">
        <v>698</v>
      </c>
      <c r="E121" s="2" t="inlineStr">
        <is>
          <t>4月</t>
        </is>
      </c>
      <c r="F121" s="2" t="inlineStr">
        <is>
          <t>◎</t>
        </is>
      </c>
    </row>
    <row r="122">
      <c r="A122" s="2" t="inlineStr">
        <is>
          <t>2026-03-15</t>
        </is>
      </c>
      <c r="B122" s="2" t="inlineStr">
        <is>
          <t>ファミリーマート</t>
        </is>
      </c>
      <c r="C122" s="2" t="inlineStr">
        <is>
          <t>コンビニ</t>
        </is>
      </c>
      <c r="D122" s="3" t="n">
        <v>239</v>
      </c>
      <c r="E122" s="2" t="inlineStr">
        <is>
          <t>4月</t>
        </is>
      </c>
      <c r="F122" s="2" t="inlineStr">
        <is>
          <t>ファミリーマート 三宮南 ◎</t>
        </is>
      </c>
    </row>
    <row r="123">
      <c r="A123" s="2" t="inlineStr">
        <is>
          <t>2026-03-15</t>
        </is>
      </c>
      <c r="B123" s="2" t="inlineStr">
        <is>
          <t>無印良品</t>
        </is>
      </c>
      <c r="C123" s="2" t="inlineStr">
        <is>
          <t>日用品・インテリア</t>
        </is>
      </c>
      <c r="D123" s="3" t="n">
        <v>5630</v>
      </c>
      <c r="E123" s="2" t="inlineStr">
        <is>
          <t>4月</t>
        </is>
      </c>
      <c r="F123" s="2" t="inlineStr">
        <is>
          <t>◎</t>
        </is>
      </c>
    </row>
    <row r="124">
      <c r="A124" s="2" t="inlineStr">
        <is>
          <t>2026-03-19</t>
        </is>
      </c>
      <c r="B124" s="2" t="inlineStr">
        <is>
          <t>ブーランジェリー‧フリアンド夙川グリーン</t>
        </is>
      </c>
      <c r="C124" s="2" t="inlineStr">
        <is>
          <t>外食・カフェ</t>
        </is>
      </c>
      <c r="D124" s="3" t="n">
        <v>1310</v>
      </c>
      <c r="E124" s="2" t="inlineStr">
        <is>
          <t>4月</t>
        </is>
      </c>
      <c r="F124" s="2" t="inlineStr">
        <is>
          <t>◎</t>
        </is>
      </c>
    </row>
    <row r="125">
      <c r="A125" s="2" t="inlineStr">
        <is>
          <t>2026-03-19</t>
        </is>
      </c>
      <c r="B125" s="2" t="inlineStr">
        <is>
          <t>ワンカルビ 今津店</t>
        </is>
      </c>
      <c r="C125" s="2" t="inlineStr">
        <is>
          <t>外食・カフェ</t>
        </is>
      </c>
      <c r="D125" s="3" t="n">
        <v>9394</v>
      </c>
      <c r="E125" s="2" t="inlineStr">
        <is>
          <t>4月</t>
        </is>
      </c>
      <c r="F125" s="2" t="inlineStr">
        <is>
          <t>◎</t>
        </is>
      </c>
    </row>
    <row r="126">
      <c r="A126" s="2" t="inlineStr">
        <is>
          <t>2026-03-20</t>
        </is>
      </c>
      <c r="B126" s="2" t="inlineStr">
        <is>
          <t>ミント神⼾</t>
        </is>
      </c>
      <c r="C126" s="2" t="inlineStr">
        <is>
          <t>ショッピングモール・百貨店</t>
        </is>
      </c>
      <c r="D126" s="3" t="n">
        <v>7920</v>
      </c>
      <c r="E126" s="2" t="inlineStr">
        <is>
          <t>4月</t>
        </is>
      </c>
      <c r="F126" s="2" t="inlineStr">
        <is>
          <t>◎</t>
        </is>
      </c>
    </row>
    <row r="127">
      <c r="A127" s="2" t="inlineStr">
        <is>
          <t>2026-03-20</t>
        </is>
      </c>
      <c r="B127" s="2" t="inlineStr">
        <is>
          <t>阪急オアシス</t>
        </is>
      </c>
      <c r="C127" s="2" t="inlineStr">
        <is>
          <t>スーパー・食料品</t>
        </is>
      </c>
      <c r="D127" s="3" t="n">
        <v>1208</v>
      </c>
      <c r="E127" s="2" t="inlineStr">
        <is>
          <t>4月</t>
        </is>
      </c>
      <c r="F127" s="2" t="inlineStr">
        <is>
          <t>◎</t>
        </is>
      </c>
    </row>
    <row r="128">
      <c r="A128" s="2" t="inlineStr">
        <is>
          <t>2026-03-20</t>
        </is>
      </c>
      <c r="B128" s="2" t="inlineStr">
        <is>
          <t>阪急オアシス</t>
        </is>
      </c>
      <c r="C128" s="2" t="inlineStr">
        <is>
          <t>スーパー・食料品</t>
        </is>
      </c>
      <c r="D128" s="3" t="n">
        <v>2060</v>
      </c>
      <c r="E128" s="2" t="inlineStr">
        <is>
          <t>4月</t>
        </is>
      </c>
      <c r="F128" s="2" t="inlineStr">
        <is>
          <t>◎</t>
        </is>
      </c>
    </row>
    <row r="129">
      <c r="A129" s="2" t="inlineStr">
        <is>
          <t>2026-03-20</t>
        </is>
      </c>
      <c r="B129" s="2" t="inlineStr">
        <is>
          <t>ファミリーマート</t>
        </is>
      </c>
      <c r="C129" s="2" t="inlineStr">
        <is>
          <t>コンビニ</t>
        </is>
      </c>
      <c r="D129" s="3" t="n">
        <v>135</v>
      </c>
      <c r="E129" s="2" t="inlineStr">
        <is>
          <t>4月</t>
        </is>
      </c>
      <c r="F129" s="2" t="inlineStr">
        <is>
          <t>ファミリーマート ポートライナー三宮 ◎</t>
        </is>
      </c>
    </row>
    <row r="130">
      <c r="A130" s="2" t="inlineStr">
        <is>
          <t>2026-03-20</t>
        </is>
      </c>
      <c r="B130" s="2" t="inlineStr">
        <is>
          <t>ｙｏｕ ｄｏｎｕｔ＊ＵＳＥＮ</t>
        </is>
      </c>
      <c r="C130" s="2" t="inlineStr">
        <is>
          <t>外食・カフェ</t>
        </is>
      </c>
      <c r="D130" s="3" t="n">
        <v>2140</v>
      </c>
      <c r="E130" s="2" t="inlineStr">
        <is>
          <t>4月</t>
        </is>
      </c>
      <c r="F130" s="2" t="inlineStr">
        <is>
          <t>◎</t>
        </is>
      </c>
    </row>
    <row r="131">
      <c r="A131" s="2" t="inlineStr">
        <is>
          <t>2026-03-21</t>
        </is>
      </c>
      <c r="B131" s="2" t="inlineStr">
        <is>
          <t>ららぽーと甲⼦園</t>
        </is>
      </c>
      <c r="C131" s="2" t="inlineStr">
        <is>
          <t>ショッピングモール・百貨店</t>
        </is>
      </c>
      <c r="D131" s="3" t="n">
        <v>1436</v>
      </c>
      <c r="E131" s="2" t="inlineStr">
        <is>
          <t>4月</t>
        </is>
      </c>
      <c r="F131" s="2" t="inlineStr">
        <is>
          <t>◎</t>
        </is>
      </c>
    </row>
    <row r="132">
      <c r="A132" s="2" t="inlineStr">
        <is>
          <t>2026-03-21</t>
        </is>
      </c>
      <c r="B132" s="2" t="inlineStr">
        <is>
          <t>Ｓｑｕａｒｅ</t>
        </is>
      </c>
      <c r="C132" s="2" t="inlineStr">
        <is>
          <t>外食・カフェ</t>
        </is>
      </c>
      <c r="D132" s="3" t="n">
        <v>7200</v>
      </c>
      <c r="E132" s="2" t="inlineStr">
        <is>
          <t>4月</t>
        </is>
      </c>
      <c r="F132" s="2" t="inlineStr">
        <is>
          <t>ＳＱ＊ぶたしょう ◎</t>
        </is>
      </c>
    </row>
    <row r="133">
      <c r="A133" s="2" t="inlineStr">
        <is>
          <t>2026-03-21</t>
        </is>
      </c>
      <c r="B133" s="2" t="inlineStr">
        <is>
          <t>ダイエー</t>
        </is>
      </c>
      <c r="C133" s="2" t="inlineStr">
        <is>
          <t>スーパー・食料品</t>
        </is>
      </c>
      <c r="D133" s="3" t="n">
        <v>220</v>
      </c>
      <c r="E133" s="2" t="inlineStr">
        <is>
          <t>4月</t>
        </is>
      </c>
      <c r="F133" s="2" t="inlineStr">
        <is>
          <t>◎</t>
        </is>
      </c>
    </row>
    <row r="134">
      <c r="A134" s="2" t="inlineStr">
        <is>
          <t>2026-03-22</t>
        </is>
      </c>
      <c r="B134" s="2" t="inlineStr">
        <is>
          <t>無印良品 神⼾ハ－バ－ランドｕｍｉｅ</t>
        </is>
      </c>
      <c r="C134" s="2" t="inlineStr">
        <is>
          <t>日用品・インテリア</t>
        </is>
      </c>
      <c r="D134" s="3" t="n">
        <v>1873</v>
      </c>
      <c r="E134" s="2" t="inlineStr">
        <is>
          <t>4月</t>
        </is>
      </c>
      <c r="F134" s="2" t="inlineStr">
        <is>
          <t>◎</t>
        </is>
      </c>
    </row>
    <row r="135">
      <c r="A135" s="2" t="inlineStr">
        <is>
          <t>2026-03-22</t>
        </is>
      </c>
      <c r="B135" s="2" t="inlineStr">
        <is>
          <t>ローソン</t>
        </is>
      </c>
      <c r="C135" s="2" t="inlineStr">
        <is>
          <t>コンビニ</t>
        </is>
      </c>
      <c r="D135" s="3" t="n">
        <v>785</v>
      </c>
      <c r="E135" s="2" t="inlineStr">
        <is>
          <t>4月</t>
        </is>
      </c>
      <c r="F135" s="2" t="inlineStr">
        <is>
          <t>◎</t>
        </is>
      </c>
    </row>
    <row r="136">
      <c r="A136" s="2" t="inlineStr">
        <is>
          <t>2026-03-22</t>
        </is>
      </c>
      <c r="B136" s="2" t="inlineStr">
        <is>
          <t>放⾹堂加琲∕ＮＦＣ</t>
        </is>
      </c>
      <c r="C136" s="2" t="inlineStr">
        <is>
          <t>外食・カフェ</t>
        </is>
      </c>
      <c r="D136" s="3" t="n">
        <v>780</v>
      </c>
      <c r="E136" s="2" t="inlineStr">
        <is>
          <t>4月</t>
        </is>
      </c>
      <c r="F136" s="2" t="inlineStr">
        <is>
          <t>◎</t>
        </is>
      </c>
    </row>
    <row r="137">
      <c r="A137" s="2" t="inlineStr">
        <is>
          <t>2026-03-23</t>
        </is>
      </c>
      <c r="B137" s="2" t="inlineStr">
        <is>
          <t>Ｔｒｉｐ．ｃｏｍ</t>
        </is>
      </c>
      <c r="C137" s="2" t="inlineStr">
        <is>
          <t>旅行・宿泊（予約サイト）</t>
        </is>
      </c>
      <c r="D137" s="3" t="n">
        <v>444092</v>
      </c>
      <c r="E137" s="2" t="inlineStr">
        <is>
          <t>4月</t>
        </is>
      </c>
      <c r="F137" s="2" t="inlineStr">
        <is>
          <t>◎</t>
        </is>
      </c>
    </row>
    <row r="138">
      <c r="A138" s="2" t="inlineStr">
        <is>
          <t>2026-03-25</t>
        </is>
      </c>
      <c r="B138" s="2" t="inlineStr">
        <is>
          <t>ソニ－⽣命保険料</t>
        </is>
      </c>
      <c r="C138" s="2" t="inlineStr">
        <is>
          <t>保険</t>
        </is>
      </c>
      <c r="D138" s="3" t="n">
        <v>55420</v>
      </c>
      <c r="E138" s="2" t="inlineStr">
        <is>
          <t>4月</t>
        </is>
      </c>
      <c r="F138" s="2" t="inlineStr">
        <is>
          <t>◎</t>
        </is>
      </c>
    </row>
    <row r="139">
      <c r="A139" s="2" t="inlineStr">
        <is>
          <t>2026-03-27</t>
        </is>
      </c>
      <c r="B139" s="2" t="inlineStr">
        <is>
          <t>阪急梅⽥２階中央催事店∕ＮＦＣ</t>
        </is>
      </c>
      <c r="C139" s="2" t="inlineStr">
        <is>
          <t>ショッピングモール・百貨店</t>
        </is>
      </c>
      <c r="D139" s="3" t="n">
        <v>3010</v>
      </c>
      <c r="E139" s="2" t="inlineStr">
        <is>
          <t>4月</t>
        </is>
      </c>
      <c r="F139" s="2" t="inlineStr">
        <is>
          <t>◎</t>
        </is>
      </c>
    </row>
    <row r="140">
      <c r="A140" s="2" t="inlineStr">
        <is>
          <t>2026-03-27</t>
        </is>
      </c>
      <c r="B140" s="2" t="inlineStr">
        <is>
          <t>阪急梅⽥２階中央催事店∕ＮＦＣ</t>
        </is>
      </c>
      <c r="C140" s="2" t="inlineStr">
        <is>
          <t>ショッピングモール・百貨店</t>
        </is>
      </c>
      <c r="D140" s="3" t="n">
        <v>2210</v>
      </c>
      <c r="E140" s="2" t="inlineStr">
        <is>
          <t>4月</t>
        </is>
      </c>
      <c r="F140" s="2" t="inlineStr">
        <is>
          <t>◎</t>
        </is>
      </c>
    </row>
    <row r="141">
      <c r="A141" s="2" t="inlineStr">
        <is>
          <t>2026-03-27</t>
        </is>
      </c>
      <c r="B141" s="2" t="inlineStr">
        <is>
          <t>成城⽯井 梅⽥店∕ＮＦＣ</t>
        </is>
      </c>
      <c r="C141" s="2" t="inlineStr">
        <is>
          <t>スーパー・食料品</t>
        </is>
      </c>
      <c r="D141" s="3" t="n">
        <v>2099</v>
      </c>
      <c r="E141" s="2" t="inlineStr">
        <is>
          <t>4月</t>
        </is>
      </c>
      <c r="F141" s="2" t="inlineStr">
        <is>
          <t>◎</t>
        </is>
      </c>
    </row>
    <row r="142">
      <c r="A142" s="2" t="inlineStr">
        <is>
          <t>2026-03-27</t>
        </is>
      </c>
      <c r="B142" s="2" t="inlineStr">
        <is>
          <t>阪急梅⽥２階中央催事店∕ＮＦＣ</t>
        </is>
      </c>
      <c r="C142" s="2" t="inlineStr">
        <is>
          <t>ショッピングモール・百貨店</t>
        </is>
      </c>
      <c r="D142" s="3" t="n">
        <v>-3010</v>
      </c>
      <c r="E142" s="2" t="inlineStr">
        <is>
          <t>4月</t>
        </is>
      </c>
      <c r="F142" s="2" t="inlineStr">
        <is>
          <t>返品 ◎</t>
        </is>
      </c>
    </row>
    <row r="143">
      <c r="A143" s="2" t="inlineStr">
        <is>
          <t>2026-03-28</t>
        </is>
      </c>
      <c r="B143" s="2" t="inlineStr">
        <is>
          <t>Ａｍａｚｏｎプライム会費</t>
        </is>
      </c>
      <c r="C143" s="2" t="inlineStr">
        <is>
          <t>通信費・サブスク</t>
        </is>
      </c>
      <c r="D143" s="3" t="n">
        <v>600</v>
      </c>
      <c r="E143" s="2" t="inlineStr">
        <is>
          <t>4月</t>
        </is>
      </c>
      <c r="F143" s="2" t="inlineStr">
        <is>
          <t>◎</t>
        </is>
      </c>
    </row>
    <row r="144">
      <c r="A144" s="2" t="inlineStr">
        <is>
          <t>2026-03-28</t>
        </is>
      </c>
      <c r="B144" s="2" t="inlineStr">
        <is>
          <t>ファミリーマート</t>
        </is>
      </c>
      <c r="C144" s="2" t="inlineStr">
        <is>
          <t>コンビニ</t>
        </is>
      </c>
      <c r="D144" s="3" t="n">
        <v>243</v>
      </c>
      <c r="E144" s="2" t="inlineStr">
        <is>
          <t>4月</t>
        </is>
      </c>
      <c r="F144" s="2" t="inlineStr">
        <is>
          <t>ファミリーマート 旧居留地東 ◎</t>
        </is>
      </c>
    </row>
    <row r="145">
      <c r="A145" s="2" t="inlineStr">
        <is>
          <t>2026-03-28</t>
        </is>
      </c>
      <c r="B145" s="2" t="inlineStr">
        <is>
          <t>ＥＮＥＯＳ－ＳＳ</t>
        </is>
      </c>
      <c r="C145" s="2" t="inlineStr">
        <is>
          <t>交通費</t>
        </is>
      </c>
      <c r="D145" s="3" t="n">
        <v>5825</v>
      </c>
      <c r="E145" s="2" t="inlineStr">
        <is>
          <t>4月</t>
        </is>
      </c>
      <c r="F145" s="2" t="inlineStr">
        <is>
          <t>◎</t>
        </is>
      </c>
    </row>
    <row r="146">
      <c r="A146" s="2" t="inlineStr">
        <is>
          <t>2026-03-29</t>
        </is>
      </c>
      <c r="B146" s="2" t="inlineStr">
        <is>
          <t>ローソン</t>
        </is>
      </c>
      <c r="C146" s="2" t="inlineStr">
        <is>
          <t>コンビニ</t>
        </is>
      </c>
      <c r="D146" s="3" t="n">
        <v>353</v>
      </c>
      <c r="E146" s="2" t="inlineStr">
        <is>
          <t>4月</t>
        </is>
      </c>
      <c r="F146" s="2" t="inlineStr">
        <is>
          <t>◎</t>
        </is>
      </c>
    </row>
    <row r="147">
      <c r="A147" s="2" t="inlineStr">
        <is>
          <t>2026-03-29</t>
        </is>
      </c>
      <c r="B147" s="2" t="inlineStr">
        <is>
          <t>イズミヤ</t>
        </is>
      </c>
      <c r="C147" s="2" t="inlineStr">
        <is>
          <t>スーパー・食料品</t>
        </is>
      </c>
      <c r="D147" s="3" t="n">
        <v>225</v>
      </c>
      <c r="E147" s="2" t="inlineStr">
        <is>
          <t>4月</t>
        </is>
      </c>
      <c r="F147" s="2" t="inlineStr">
        <is>
          <t>◎</t>
        </is>
      </c>
    </row>
    <row r="148">
      <c r="A148" s="2" t="inlineStr">
        <is>
          <t>2026-03-29</t>
        </is>
      </c>
      <c r="B148" s="2" t="inlineStr">
        <is>
          <t>阪急⻄宮ガーデンズ</t>
        </is>
      </c>
      <c r="C148" s="2" t="inlineStr">
        <is>
          <t>ショッピングモール・百貨店</t>
        </is>
      </c>
      <c r="D148" s="3" t="n">
        <v>978</v>
      </c>
      <c r="E148" s="2" t="inlineStr">
        <is>
          <t>4月</t>
        </is>
      </c>
      <c r="F148" s="2" t="inlineStr">
        <is>
          <t>◎</t>
        </is>
      </c>
    </row>
    <row r="149">
      <c r="A149" s="2" t="inlineStr">
        <is>
          <t>2026-03-03</t>
        </is>
      </c>
      <c r="B149" s="2" t="inlineStr">
        <is>
          <t>タイムズカー</t>
        </is>
      </c>
      <c r="C149" s="2" t="inlineStr">
        <is>
          <t>交通費</t>
        </is>
      </c>
      <c r="D149" s="3" t="n">
        <v>660</v>
      </c>
      <c r="E149" s="2" t="inlineStr">
        <is>
          <t>5月</t>
        </is>
      </c>
      <c r="F149" s="2" t="inlineStr">
        <is>
          <t>２０２６０３カ―ドハツコウリヨウ ◎</t>
        </is>
      </c>
    </row>
    <row r="150">
      <c r="A150" s="2" t="inlineStr">
        <is>
          <t>2026-03-27</t>
        </is>
      </c>
      <c r="B150" s="2" t="inlineStr">
        <is>
          <t>関⻄電⼒ 電気</t>
        </is>
      </c>
      <c r="C150" s="2" t="inlineStr">
        <is>
          <t>水道光熱費</t>
        </is>
      </c>
      <c r="D150" s="3" t="n">
        <v>8164</v>
      </c>
      <c r="E150" s="2" t="inlineStr">
        <is>
          <t>5月</t>
        </is>
      </c>
      <c r="F150" s="2" t="inlineStr">
        <is>
          <t>２６年 ３⽉ ◎</t>
        </is>
      </c>
    </row>
    <row r="151">
      <c r="A151" s="2" t="inlineStr">
        <is>
          <t>2026-04-03</t>
        </is>
      </c>
      <c r="B151" s="2" t="inlineStr">
        <is>
          <t>お好み焼き 鉄板焼き 遼＊ＵＳＥＮ</t>
        </is>
      </c>
      <c r="C151" s="2" t="inlineStr">
        <is>
          <t>外食・カフェ</t>
        </is>
      </c>
      <c r="D151" s="3" t="n">
        <v>5120</v>
      </c>
      <c r="E151" s="2" t="inlineStr">
        <is>
          <t>5月</t>
        </is>
      </c>
      <c r="F151" s="2" t="inlineStr">
        <is>
          <t>◎</t>
        </is>
      </c>
    </row>
    <row r="152">
      <c r="A152" s="2" t="inlineStr">
        <is>
          <t>2026-04-04</t>
        </is>
      </c>
      <c r="B152" s="2" t="inlineStr">
        <is>
          <t>ブーランジェリー‧フリアンド夙川グリーン</t>
        </is>
      </c>
      <c r="C152" s="2" t="inlineStr">
        <is>
          <t>外食・カフェ</t>
        </is>
      </c>
      <c r="D152" s="3" t="n">
        <v>300</v>
      </c>
      <c r="E152" s="2" t="inlineStr">
        <is>
          <t>5月</t>
        </is>
      </c>
      <c r="F152" s="2" t="inlineStr">
        <is>
          <t>◎</t>
        </is>
      </c>
    </row>
    <row r="153">
      <c r="A153" s="2" t="inlineStr">
        <is>
          <t>2026-04-04</t>
        </is>
      </c>
      <c r="B153" s="2" t="inlineStr">
        <is>
          <t>モンテメール∕ＮＦＣ</t>
        </is>
      </c>
      <c r="C153" s="2" t="inlineStr">
        <is>
          <t>ショッピングモール・百貨店</t>
        </is>
      </c>
      <c r="D153" s="3" t="n">
        <v>2980</v>
      </c>
      <c r="E153" s="2" t="inlineStr">
        <is>
          <t>5月</t>
        </is>
      </c>
      <c r="F153" s="2" t="inlineStr">
        <is>
          <t>◎</t>
        </is>
      </c>
    </row>
    <row r="154">
      <c r="A154" s="2" t="inlineStr">
        <is>
          <t>2026-04-04</t>
        </is>
      </c>
      <c r="B154" s="2" t="inlineStr">
        <is>
          <t>エルベラン</t>
        </is>
      </c>
      <c r="C154" s="2" t="inlineStr">
        <is>
          <t>外食・カフェ</t>
        </is>
      </c>
      <c r="D154" s="3" t="n">
        <v>1166</v>
      </c>
      <c r="E154" s="2" t="inlineStr">
        <is>
          <t>5月</t>
        </is>
      </c>
      <c r="F154" s="2" t="inlineStr">
        <is>
          <t>◎</t>
        </is>
      </c>
    </row>
    <row r="155">
      <c r="A155" s="2" t="inlineStr">
        <is>
          <t>2026-04-05</t>
        </is>
      </c>
      <c r="B155" s="2" t="inlineStr">
        <is>
          <t>ちひろ菓⼦店</t>
        </is>
      </c>
      <c r="C155" s="2" t="inlineStr">
        <is>
          <t>外食・カフェ</t>
        </is>
      </c>
      <c r="D155" s="3" t="n">
        <v>720</v>
      </c>
      <c r="E155" s="2" t="inlineStr">
        <is>
          <t>5月</t>
        </is>
      </c>
      <c r="F155" s="2" t="inlineStr">
        <is>
          <t>◎</t>
        </is>
      </c>
    </row>
    <row r="156">
      <c r="A156" s="2" t="inlineStr">
        <is>
          <t>2026-04-05</t>
        </is>
      </c>
      <c r="B156" s="2" t="inlineStr">
        <is>
          <t>Ｓｑｕａｒｅ</t>
        </is>
      </c>
      <c r="C156" s="2" t="inlineStr">
        <is>
          <t>外食・カフェ</t>
        </is>
      </c>
      <c r="D156" s="3" t="n">
        <v>3930</v>
      </c>
      <c r="E156" s="2" t="inlineStr">
        <is>
          <t>5月</t>
        </is>
      </c>
      <c r="F156" s="2" t="inlineStr">
        <is>
          <t>ＳＱ＊ＡＷＡＪＩ Ｓｅａｓｉｄｅ Ｗａｌ ◎</t>
        </is>
      </c>
    </row>
    <row r="157">
      <c r="A157" s="2" t="inlineStr">
        <is>
          <t>2026-04-05</t>
        </is>
      </c>
      <c r="B157" s="2" t="inlineStr">
        <is>
          <t>タカムラ淡路島ロースタリー＆カフェ</t>
        </is>
      </c>
      <c r="C157" s="2" t="inlineStr">
        <is>
          <t>外食・カフェ</t>
        </is>
      </c>
      <c r="D157" s="3" t="n">
        <v>3887</v>
      </c>
      <c r="E157" s="2" t="inlineStr">
        <is>
          <t>5月</t>
        </is>
      </c>
      <c r="F157" s="2" t="inlineStr">
        <is>
          <t>◎</t>
        </is>
      </c>
    </row>
    <row r="158">
      <c r="A158" s="2" t="inlineStr">
        <is>
          <t>2026-04-05</t>
        </is>
      </c>
      <c r="B158" s="2" t="inlineStr">
        <is>
          <t>淡路サービスエリア下り売店</t>
        </is>
      </c>
      <c r="C158" s="2" t="inlineStr">
        <is>
          <t>外食・カフェ</t>
        </is>
      </c>
      <c r="D158" s="3" t="n">
        <v>157</v>
      </c>
      <c r="E158" s="2" t="inlineStr">
        <is>
          <t>5月</t>
        </is>
      </c>
      <c r="F158" s="2" t="inlineStr">
        <is>
          <t>◎</t>
        </is>
      </c>
    </row>
    <row r="159">
      <c r="A159" s="2" t="inlineStr">
        <is>
          <t>2026-04-06</t>
        </is>
      </c>
      <c r="B159" s="2" t="inlineStr">
        <is>
          <t>ライフ夙川店</t>
        </is>
      </c>
      <c r="C159" s="2" t="inlineStr">
        <is>
          <t>スーパー・食料品</t>
        </is>
      </c>
      <c r="D159" s="3" t="n">
        <v>213</v>
      </c>
      <c r="E159" s="2" t="inlineStr">
        <is>
          <t>5月</t>
        </is>
      </c>
      <c r="F159" s="2" t="inlineStr">
        <is>
          <t>◎</t>
        </is>
      </c>
    </row>
    <row r="160">
      <c r="A160" s="2" t="inlineStr">
        <is>
          <t>2026-04-07</t>
        </is>
      </c>
      <c r="B160" s="2" t="inlineStr">
        <is>
          <t>ローソン</t>
        </is>
      </c>
      <c r="C160" s="2" t="inlineStr">
        <is>
          <t>コンビニ</t>
        </is>
      </c>
      <c r="D160" s="3" t="n">
        <v>648</v>
      </c>
      <c r="E160" s="2" t="inlineStr">
        <is>
          <t>5月</t>
        </is>
      </c>
      <c r="F160" s="2" t="inlineStr">
        <is>
          <t>◎</t>
        </is>
      </c>
    </row>
    <row r="161">
      <c r="A161" s="2" t="inlineStr">
        <is>
          <t>2026-04-10</t>
        </is>
      </c>
      <c r="B161" s="2" t="inlineStr">
        <is>
          <t>ダイエー</t>
        </is>
      </c>
      <c r="C161" s="2" t="inlineStr">
        <is>
          <t>スーパー・食料品</t>
        </is>
      </c>
      <c r="D161" s="3" t="n">
        <v>110</v>
      </c>
      <c r="E161" s="2" t="inlineStr">
        <is>
          <t>5月</t>
        </is>
      </c>
      <c r="F161" s="2" t="inlineStr">
        <is>
          <t>◎</t>
        </is>
      </c>
    </row>
    <row r="162">
      <c r="A162" s="2" t="inlineStr">
        <is>
          <t>2026-04-10</t>
        </is>
      </c>
      <c r="B162" s="2" t="inlineStr">
        <is>
          <t>関⻄電⼒ガス</t>
        </is>
      </c>
      <c r="C162" s="2" t="inlineStr">
        <is>
          <t>水道光熱費</t>
        </is>
      </c>
      <c r="D162" s="3" t="n">
        <v>7379</v>
      </c>
      <c r="E162" s="2" t="inlineStr">
        <is>
          <t>5月</t>
        </is>
      </c>
      <c r="F162" s="2" t="inlineStr">
        <is>
          <t>２６年 ４⽉ ◎</t>
        </is>
      </c>
    </row>
    <row r="163">
      <c r="A163" s="2" t="inlineStr">
        <is>
          <t>2026-04-11</t>
        </is>
      </c>
      <c r="B163" s="2" t="inlineStr">
        <is>
          <t>マサヒコ オズミ パリ ヨドヤバ∕ＮＦＣ</t>
        </is>
      </c>
      <c r="C163" s="2" t="inlineStr">
        <is>
          <t>その他</t>
        </is>
      </c>
      <c r="D163" s="3" t="n">
        <v>1820</v>
      </c>
      <c r="E163" s="2" t="inlineStr">
        <is>
          <t>5月</t>
        </is>
      </c>
      <c r="F163" s="2" t="inlineStr">
        <is>
          <t>◎</t>
        </is>
      </c>
    </row>
    <row r="164">
      <c r="A164" s="2" t="inlineStr">
        <is>
          <t>2026-04-11</t>
        </is>
      </c>
      <c r="B164" s="2" t="inlineStr">
        <is>
          <t>イズミヤ</t>
        </is>
      </c>
      <c r="C164" s="2" t="inlineStr">
        <is>
          <t>スーパー・食料品</t>
        </is>
      </c>
      <c r="D164" s="3" t="n">
        <v>192</v>
      </c>
      <c r="E164" s="2" t="inlineStr">
        <is>
          <t>5月</t>
        </is>
      </c>
      <c r="F164" s="2" t="inlineStr">
        <is>
          <t>◎</t>
        </is>
      </c>
    </row>
    <row r="165">
      <c r="A165" s="2" t="inlineStr">
        <is>
          <t>2026-04-11</t>
        </is>
      </c>
      <c r="B165" s="2" t="inlineStr">
        <is>
          <t>ノムラクリーニング 夙川サービスショップ</t>
        </is>
      </c>
      <c r="C165" s="2" t="inlineStr">
        <is>
          <t>ファッション・美容</t>
        </is>
      </c>
      <c r="D165" s="3" t="n">
        <v>14551</v>
      </c>
      <c r="E165" s="2" t="inlineStr">
        <is>
          <t>5月</t>
        </is>
      </c>
      <c r="F165" s="2" t="inlineStr">
        <is>
          <t>◎</t>
        </is>
      </c>
    </row>
    <row r="166">
      <c r="A166" s="2" t="inlineStr">
        <is>
          <t>2026-04-11</t>
        </is>
      </c>
      <c r="B166" s="2" t="inlineStr">
        <is>
          <t>サニーサイド⻄宮⼤社店</t>
        </is>
      </c>
      <c r="C166" s="2" t="inlineStr">
        <is>
          <t>スーパー・食料品</t>
        </is>
      </c>
      <c r="D166" s="3" t="n">
        <v>1873</v>
      </c>
      <c r="E166" s="2" t="inlineStr">
        <is>
          <t>5月</t>
        </is>
      </c>
      <c r="F166" s="2" t="inlineStr">
        <is>
          <t>◎</t>
        </is>
      </c>
    </row>
    <row r="167">
      <c r="A167" s="2" t="inlineStr">
        <is>
          <t>2026-04-11</t>
        </is>
      </c>
      <c r="B167" s="2" t="inlineStr">
        <is>
          <t>いかり 夙川店</t>
        </is>
      </c>
      <c r="C167" s="2" t="inlineStr">
        <is>
          <t>スーパー・食料品</t>
        </is>
      </c>
      <c r="D167" s="3" t="n">
        <v>213</v>
      </c>
      <c r="E167" s="2" t="inlineStr">
        <is>
          <t>5月</t>
        </is>
      </c>
      <c r="F167" s="2" t="inlineStr">
        <is>
          <t>◎</t>
        </is>
      </c>
    </row>
    <row r="168">
      <c r="A168" s="2" t="inlineStr">
        <is>
          <t>2026-04-12</t>
        </is>
      </c>
      <c r="B168" s="2" t="inlineStr">
        <is>
          <t>正家さんちか店</t>
        </is>
      </c>
      <c r="C168" s="2" t="inlineStr">
        <is>
          <t>外食・カフェ</t>
        </is>
      </c>
      <c r="D168" s="3" t="n">
        <v>3110</v>
      </c>
      <c r="E168" s="2" t="inlineStr">
        <is>
          <t>5月</t>
        </is>
      </c>
      <c r="F168" s="2" t="inlineStr">
        <is>
          <t>◎</t>
        </is>
      </c>
    </row>
    <row r="169">
      <c r="A169" s="2" t="inlineStr">
        <is>
          <t>2026-04-12</t>
        </is>
      </c>
      <c r="B169" s="2" t="inlineStr">
        <is>
          <t>上島珈琲店 さんちか店</t>
        </is>
      </c>
      <c r="C169" s="2" t="inlineStr">
        <is>
          <t>外食・カフェ</t>
        </is>
      </c>
      <c r="D169" s="3" t="n">
        <v>1400</v>
      </c>
      <c r="E169" s="2" t="inlineStr">
        <is>
          <t>5月</t>
        </is>
      </c>
      <c r="F169" s="2" t="inlineStr">
        <is>
          <t>◎</t>
        </is>
      </c>
    </row>
    <row r="170">
      <c r="A170" s="2" t="inlineStr">
        <is>
          <t>2026-04-12</t>
        </is>
      </c>
      <c r="B170" s="2" t="inlineStr">
        <is>
          <t>いかり 三宮店</t>
        </is>
      </c>
      <c r="C170" s="2" t="inlineStr">
        <is>
          <t>スーパー・食料品</t>
        </is>
      </c>
      <c r="D170" s="3" t="n">
        <v>918</v>
      </c>
      <c r="E170" s="2" t="inlineStr">
        <is>
          <t>5月</t>
        </is>
      </c>
      <c r="F170" s="2" t="inlineStr">
        <is>
          <t>◎</t>
        </is>
      </c>
    </row>
    <row r="171">
      <c r="A171" s="2" t="inlineStr">
        <is>
          <t>2026-04-15</t>
        </is>
      </c>
      <c r="B171" s="2" t="inlineStr">
        <is>
          <t>ピオレ姫路∕ＮＦＣ</t>
        </is>
      </c>
      <c r="C171" s="2" t="inlineStr">
        <is>
          <t>ショッピングモール・百貨店</t>
        </is>
      </c>
      <c r="D171" s="3" t="n">
        <v>781</v>
      </c>
      <c r="E171" s="2" t="inlineStr">
        <is>
          <t>5月</t>
        </is>
      </c>
      <c r="F171" s="2" t="inlineStr">
        <is>
          <t>◎</t>
        </is>
      </c>
    </row>
    <row r="172">
      <c r="A172" s="2" t="inlineStr">
        <is>
          <t>2026-04-18</t>
        </is>
      </c>
      <c r="B172" s="2" t="inlineStr">
        <is>
          <t>セブン－イレブン</t>
        </is>
      </c>
      <c r="C172" s="2" t="inlineStr">
        <is>
          <t>コンビニ</t>
        </is>
      </c>
      <c r="D172" s="3" t="n">
        <v>2632</v>
      </c>
      <c r="E172" s="2" t="inlineStr">
        <is>
          <t>5月</t>
        </is>
      </c>
      <c r="F172" s="2" t="inlineStr">
        <is>
          <t>◎</t>
        </is>
      </c>
    </row>
    <row r="173">
      <c r="A173" s="2" t="inlineStr">
        <is>
          <t>2026-04-18</t>
        </is>
      </c>
      <c r="B173" s="2" t="inlineStr">
        <is>
          <t>ファミリーマート</t>
        </is>
      </c>
      <c r="C173" s="2" t="inlineStr">
        <is>
          <t>コンビニ</t>
        </is>
      </c>
      <c r="D173" s="3" t="n">
        <v>614</v>
      </c>
      <c r="E173" s="2" t="inlineStr">
        <is>
          <t>5月</t>
        </is>
      </c>
      <c r="F173" s="2" t="inlineStr">
        <is>
          <t>ファミリーマート 丸⻲⼟居町 ◎</t>
        </is>
      </c>
    </row>
    <row r="174">
      <c r="A174" s="2" t="inlineStr">
        <is>
          <t>2026-04-18</t>
        </is>
      </c>
      <c r="B174" s="2" t="inlineStr">
        <is>
          <t>三本松ぱん</t>
        </is>
      </c>
      <c r="C174" s="2" t="inlineStr">
        <is>
          <t>外食・カフェ</t>
        </is>
      </c>
      <c r="D174" s="3" t="n">
        <v>1107</v>
      </c>
      <c r="E174" s="2" t="inlineStr">
        <is>
          <t>5月</t>
        </is>
      </c>
      <c r="F174" s="2" t="inlineStr">
        <is>
          <t>◎</t>
        </is>
      </c>
    </row>
    <row r="175">
      <c r="A175" s="2" t="inlineStr">
        <is>
          <t>2026-04-18</t>
        </is>
      </c>
      <c r="B175" s="2" t="inlineStr">
        <is>
          <t>ＳＵＮＮＹＳＩＤＥ ＦＩＥＬＤＳ</t>
        </is>
      </c>
      <c r="C175" s="2" t="inlineStr">
        <is>
          <t>スーパー・食料品</t>
        </is>
      </c>
      <c r="D175" s="3" t="n">
        <v>3050</v>
      </c>
      <c r="E175" s="2" t="inlineStr">
        <is>
          <t>5月</t>
        </is>
      </c>
      <c r="F175" s="2" t="inlineStr">
        <is>
          <t>◎</t>
        </is>
      </c>
    </row>
    <row r="176">
      <c r="A176" s="2" t="inlineStr">
        <is>
          <t>2026-04-18</t>
        </is>
      </c>
      <c r="B176" s="2" t="inlineStr">
        <is>
          <t>⼀鶴 ⼟器川店</t>
        </is>
      </c>
      <c r="C176" s="2" t="inlineStr">
        <is>
          <t>外食・カフェ</t>
        </is>
      </c>
      <c r="D176" s="3" t="n">
        <v>3278</v>
      </c>
      <c r="E176" s="2" t="inlineStr">
        <is>
          <t>5月</t>
        </is>
      </c>
      <c r="F176" s="2" t="inlineStr">
        <is>
          <t>◎</t>
        </is>
      </c>
    </row>
    <row r="177">
      <c r="A177" s="2" t="inlineStr">
        <is>
          <t>2026-04-19</t>
        </is>
      </c>
      <c r="B177" s="2" t="inlineStr">
        <is>
          <t>タイムズパーキング</t>
        </is>
      </c>
      <c r="C177" s="2" t="inlineStr">
        <is>
          <t>交通費</t>
        </is>
      </c>
      <c r="D177" s="3" t="n">
        <v>300</v>
      </c>
      <c r="E177" s="2" t="inlineStr">
        <is>
          <t>5月</t>
        </is>
      </c>
      <c r="F177" s="2" t="inlineStr">
        <is>
          <t>◎</t>
        </is>
      </c>
    </row>
    <row r="178">
      <c r="A178" s="2" t="inlineStr">
        <is>
          <t>2026-04-19</t>
        </is>
      </c>
      <c r="B178" s="2" t="inlineStr">
        <is>
          <t>イズミヤ</t>
        </is>
      </c>
      <c r="C178" s="2" t="inlineStr">
        <is>
          <t>スーパー・食料品</t>
        </is>
      </c>
      <c r="D178" s="3" t="n">
        <v>2558</v>
      </c>
      <c r="E178" s="2" t="inlineStr">
        <is>
          <t>5月</t>
        </is>
      </c>
      <c r="F178" s="2" t="inlineStr">
        <is>
          <t>◎</t>
        </is>
      </c>
    </row>
    <row r="179">
      <c r="A179" s="2" t="inlineStr">
        <is>
          <t>2026-04-19</t>
        </is>
      </c>
      <c r="B179" s="2" t="inlineStr">
        <is>
          <t>イズミヤ</t>
        </is>
      </c>
      <c r="C179" s="2" t="inlineStr">
        <is>
          <t>スーパー・食料品</t>
        </is>
      </c>
      <c r="D179" s="3" t="n">
        <v>1097</v>
      </c>
      <c r="E179" s="2" t="inlineStr">
        <is>
          <t>5月</t>
        </is>
      </c>
      <c r="F179" s="2" t="inlineStr">
        <is>
          <t>◎</t>
        </is>
      </c>
    </row>
    <row r="180">
      <c r="A180" s="2" t="inlineStr">
        <is>
          <t>2026-04-19</t>
        </is>
      </c>
      <c r="B180" s="2" t="inlineStr">
        <is>
          <t>阪急⻄宮ガーデンズ</t>
        </is>
      </c>
      <c r="C180" s="2" t="inlineStr">
        <is>
          <t>ショッピングモール・百貨店</t>
        </is>
      </c>
      <c r="D180" s="3" t="n">
        <v>2248</v>
      </c>
      <c r="E180" s="2" t="inlineStr">
        <is>
          <t>5月</t>
        </is>
      </c>
      <c r="F180" s="2" t="inlineStr">
        <is>
          <t>◎</t>
        </is>
      </c>
    </row>
    <row r="181">
      <c r="A181" s="2" t="inlineStr">
        <is>
          <t>2026-04-19</t>
        </is>
      </c>
      <c r="B181" s="2" t="inlineStr">
        <is>
          <t>ＥＮＣＯＲＥ ＵＮ ＭＡＴＩＮ</t>
        </is>
      </c>
      <c r="C181" s="2" t="inlineStr">
        <is>
          <t>外食・カフェ</t>
        </is>
      </c>
      <c r="D181" s="3" t="n">
        <v>1630</v>
      </c>
      <c r="E181" s="2" t="inlineStr">
        <is>
          <t>5月</t>
        </is>
      </c>
      <c r="F181" s="2" t="inlineStr">
        <is>
          <t>◎</t>
        </is>
      </c>
    </row>
    <row r="182">
      <c r="A182" s="2" t="inlineStr">
        <is>
          <t>2026-04-20</t>
        </is>
      </c>
      <c r="B182" s="2" t="inlineStr">
        <is>
          <t>ＡＭＡＺＯＮ．ＣＯ．ＪＰ</t>
        </is>
      </c>
      <c r="C182" s="2" t="inlineStr">
        <is>
          <t>ネットショッピング</t>
        </is>
      </c>
      <c r="D182" s="3" t="n">
        <v>6990</v>
      </c>
      <c r="E182" s="2" t="inlineStr">
        <is>
          <t>5月</t>
        </is>
      </c>
      <c r="F182" s="2" t="inlineStr">
        <is>
          <t>◎</t>
        </is>
      </c>
    </row>
    <row r="183">
      <c r="A183" s="2" t="inlineStr">
        <is>
          <t>2026-04-24</t>
        </is>
      </c>
      <c r="B183" s="2" t="inlineStr">
        <is>
          <t>ＡＭＡＺＯＮ．ＣＯ．ＪＰ</t>
        </is>
      </c>
      <c r="C183" s="2" t="inlineStr">
        <is>
          <t>ネットショッピング</t>
        </is>
      </c>
      <c r="D183" s="3" t="n">
        <v>764</v>
      </c>
      <c r="E183" s="2" t="inlineStr">
        <is>
          <t>5月</t>
        </is>
      </c>
      <c r="F183" s="2" t="inlineStr">
        <is>
          <t>◎</t>
        </is>
      </c>
    </row>
    <row r="184">
      <c r="A184" s="2" t="inlineStr">
        <is>
          <t>2026-04-24</t>
        </is>
      </c>
      <c r="B184" s="2" t="inlineStr">
        <is>
          <t>ドン‧キホーテ⻄宮店</t>
        </is>
      </c>
      <c r="C184" s="2" t="inlineStr">
        <is>
          <t>日用品・インテリア</t>
        </is>
      </c>
      <c r="D184" s="3" t="n">
        <v>1618</v>
      </c>
      <c r="E184" s="2" t="inlineStr">
        <is>
          <t>5月</t>
        </is>
      </c>
      <c r="F184" s="2" t="inlineStr">
        <is>
          <t>◎</t>
        </is>
      </c>
    </row>
    <row r="185">
      <c r="A185" s="2" t="inlineStr">
        <is>
          <t>2026-04-24</t>
        </is>
      </c>
      <c r="B185" s="2" t="inlineStr">
        <is>
          <t>スシロー</t>
        </is>
      </c>
      <c r="C185" s="2" t="inlineStr">
        <is>
          <t>外食・カフェ</t>
        </is>
      </c>
      <c r="D185" s="3" t="n">
        <v>2900</v>
      </c>
      <c r="E185" s="2" t="inlineStr">
        <is>
          <t>5月</t>
        </is>
      </c>
      <c r="F185" s="2" t="inlineStr">
        <is>
          <t>◎</t>
        </is>
      </c>
    </row>
    <row r="186">
      <c r="A186" s="2" t="inlineStr">
        <is>
          <t>2026-04-25</t>
        </is>
      </c>
      <c r="B186" s="2" t="inlineStr">
        <is>
          <t>神⼾どうぶつ王国∕ＮＦＣ</t>
        </is>
      </c>
      <c r="C186" s="2" t="inlineStr">
        <is>
          <t>外食・カフェ</t>
        </is>
      </c>
      <c r="D186" s="3" t="n">
        <v>4800</v>
      </c>
      <c r="E186" s="2" t="inlineStr">
        <is>
          <t>5月</t>
        </is>
      </c>
      <c r="F186" s="2" t="inlineStr">
        <is>
          <t>◎</t>
        </is>
      </c>
    </row>
    <row r="187">
      <c r="A187" s="2" t="inlineStr">
        <is>
          <t>2026-04-25</t>
        </is>
      </c>
      <c r="B187" s="2" t="inlineStr">
        <is>
          <t>ソニ－⽣命保険料</t>
        </is>
      </c>
      <c r="C187" s="2" t="inlineStr">
        <is>
          <t>保険</t>
        </is>
      </c>
      <c r="D187" s="3" t="n">
        <v>55420</v>
      </c>
      <c r="E187" s="2" t="inlineStr">
        <is>
          <t>5月</t>
        </is>
      </c>
      <c r="F187" s="2" t="inlineStr">
        <is>
          <t>◎</t>
        </is>
      </c>
    </row>
    <row r="188">
      <c r="A188" s="2" t="inlineStr">
        <is>
          <t>2026-04-25</t>
        </is>
      </c>
      <c r="B188" s="2" t="inlineStr">
        <is>
          <t>ＩＫＥＡ神⼾</t>
        </is>
      </c>
      <c r="C188" s="2" t="inlineStr">
        <is>
          <t>日用品・インテリア</t>
        </is>
      </c>
      <c r="D188" s="3" t="n">
        <v>50</v>
      </c>
      <c r="E188" s="2" t="inlineStr">
        <is>
          <t>5月</t>
        </is>
      </c>
      <c r="F188" s="2" t="inlineStr">
        <is>
          <t>◎</t>
        </is>
      </c>
    </row>
    <row r="189">
      <c r="A189" s="2" t="inlineStr">
        <is>
          <t>2026-04-25</t>
        </is>
      </c>
      <c r="B189" s="2" t="inlineStr">
        <is>
          <t>ＩＫＥＡ神⼾</t>
        </is>
      </c>
      <c r="C189" s="2" t="inlineStr">
        <is>
          <t>日用品・インテリア</t>
        </is>
      </c>
      <c r="D189" s="3" t="n">
        <v>2697</v>
      </c>
      <c r="E189" s="2" t="inlineStr">
        <is>
          <t>5月</t>
        </is>
      </c>
      <c r="F189" s="2" t="inlineStr">
        <is>
          <t>◎</t>
        </is>
      </c>
    </row>
    <row r="190">
      <c r="A190" s="2" t="inlineStr">
        <is>
          <t>2026-04-25</t>
        </is>
      </c>
      <c r="B190" s="2" t="inlineStr">
        <is>
          <t>関⻄スーパー 苦楽園店</t>
        </is>
      </c>
      <c r="C190" s="2" t="inlineStr">
        <is>
          <t>スーパー・食料品</t>
        </is>
      </c>
      <c r="D190" s="3" t="n">
        <v>1423</v>
      </c>
      <c r="E190" s="2" t="inlineStr">
        <is>
          <t>5月</t>
        </is>
      </c>
      <c r="F190" s="2" t="inlineStr">
        <is>
          <t>◎</t>
        </is>
      </c>
    </row>
    <row r="191">
      <c r="A191" s="2" t="inlineStr">
        <is>
          <t>2026-04-26</t>
        </is>
      </c>
      <c r="B191" s="2" t="inlineStr">
        <is>
          <t>ブーランジェリー‧フリアンド本店</t>
        </is>
      </c>
      <c r="C191" s="2" t="inlineStr">
        <is>
          <t>外食・カフェ</t>
        </is>
      </c>
      <c r="D191" s="3" t="n">
        <v>1155</v>
      </c>
      <c r="E191" s="2" t="inlineStr">
        <is>
          <t>5月</t>
        </is>
      </c>
      <c r="F191" s="2" t="inlineStr">
        <is>
          <t>◎</t>
        </is>
      </c>
    </row>
    <row r="192">
      <c r="A192" s="2" t="inlineStr">
        <is>
          <t>2026-04-26</t>
        </is>
      </c>
      <c r="B192" s="2" t="inlineStr">
        <is>
          <t>ローソン</t>
        </is>
      </c>
      <c r="C192" s="2" t="inlineStr">
        <is>
          <t>コンビニ</t>
        </is>
      </c>
      <c r="D192" s="3" t="n">
        <v>390</v>
      </c>
      <c r="E192" s="2" t="inlineStr">
        <is>
          <t>5月</t>
        </is>
      </c>
      <c r="F192" s="2" t="inlineStr">
        <is>
          <t>◎</t>
        </is>
      </c>
    </row>
    <row r="193">
      <c r="A193" s="2" t="inlineStr">
        <is>
          <t>2026-04-27</t>
        </is>
      </c>
      <c r="B193" s="2" t="inlineStr">
        <is>
          <t>ダイソー∕ＮＦＣ</t>
        </is>
      </c>
      <c r="C193" s="2" t="inlineStr">
        <is>
          <t>日用品・インテリア</t>
        </is>
      </c>
      <c r="D193" s="3" t="n">
        <v>223</v>
      </c>
      <c r="E193" s="2" t="inlineStr">
        <is>
          <t>5月</t>
        </is>
      </c>
      <c r="F193" s="2" t="inlineStr">
        <is>
          <t>◎</t>
        </is>
      </c>
    </row>
    <row r="194">
      <c r="A194" s="2" t="inlineStr">
        <is>
          <t>2026-04-27</t>
        </is>
      </c>
      <c r="B194" s="2" t="inlineStr">
        <is>
          <t>いかり 夙川店</t>
        </is>
      </c>
      <c r="C194" s="2" t="inlineStr">
        <is>
          <t>スーパー・食料品</t>
        </is>
      </c>
      <c r="D194" s="3" t="n">
        <v>258</v>
      </c>
      <c r="E194" s="2" t="inlineStr">
        <is>
          <t>5月</t>
        </is>
      </c>
      <c r="F194" s="2" t="inlineStr">
        <is>
          <t>◎</t>
        </is>
      </c>
    </row>
    <row r="195">
      <c r="A195" s="2" t="inlineStr">
        <is>
          <t>2026-04-28</t>
        </is>
      </c>
      <c r="B195" s="2" t="inlineStr">
        <is>
          <t>Ａｍａｚｏｎプライム会費</t>
        </is>
      </c>
      <c r="C195" s="2" t="inlineStr">
        <is>
          <t>通信費・サブスク</t>
        </is>
      </c>
      <c r="D195" s="3" t="n">
        <v>600</v>
      </c>
      <c r="E195" s="2" t="inlineStr">
        <is>
          <t>5月</t>
        </is>
      </c>
      <c r="F195" s="2" t="inlineStr">
        <is>
          <t>◎</t>
        </is>
      </c>
    </row>
    <row r="196">
      <c r="A196" s="2" t="inlineStr">
        <is>
          <t>2026-04-28</t>
        </is>
      </c>
      <c r="B196" s="2" t="inlineStr">
        <is>
          <t>いかり 夙川店</t>
        </is>
      </c>
      <c r="C196" s="2" t="inlineStr">
        <is>
          <t>スーパー・食料品</t>
        </is>
      </c>
      <c r="D196" s="3" t="n">
        <v>1811</v>
      </c>
      <c r="E196" s="2" t="inlineStr">
        <is>
          <t>5月</t>
        </is>
      </c>
      <c r="F196" s="2" t="inlineStr">
        <is>
          <t>◎</t>
        </is>
      </c>
    </row>
    <row r="197">
      <c r="A197" s="2" t="inlineStr">
        <is>
          <t>2026-04-24</t>
        </is>
      </c>
      <c r="B197" s="2" t="inlineStr">
        <is>
          <t>関⻄電⼒ 電気</t>
        </is>
      </c>
      <c r="C197" s="2" t="inlineStr">
        <is>
          <t>水道光熱費</t>
        </is>
      </c>
      <c r="D197" s="3" t="n">
        <v>6003</v>
      </c>
      <c r="E197" s="2" t="inlineStr">
        <is>
          <t>6月</t>
        </is>
      </c>
      <c r="F197" s="2" t="inlineStr">
        <is>
          <t>２６年 ４⽉ ◎</t>
        </is>
      </c>
    </row>
    <row r="198">
      <c r="A198" s="2" t="inlineStr">
        <is>
          <t>2026-04-27</t>
        </is>
      </c>
      <c r="B198" s="2" t="inlineStr">
        <is>
          <t>遅延損害⾦（ショッピング利⽤）</t>
        </is>
      </c>
      <c r="C198" s="2" t="inlineStr">
        <is>
          <t>手数料・利息</t>
        </is>
      </c>
      <c r="D198" s="3" t="n">
        <v>2741</v>
      </c>
      <c r="E198" s="2" t="inlineStr">
        <is>
          <t>6月</t>
        </is>
      </c>
      <c r="F198" s="2" t="inlineStr"/>
    </row>
    <row r="199">
      <c r="A199" s="2" t="inlineStr">
        <is>
          <t>2026-05-14</t>
        </is>
      </c>
      <c r="B199" s="2" t="inlineStr">
        <is>
          <t>関⻄電⼒ガス</t>
        </is>
      </c>
      <c r="C199" s="2" t="inlineStr">
        <is>
          <t>水道光熱費</t>
        </is>
      </c>
      <c r="D199" s="3" t="n">
        <v>6160</v>
      </c>
      <c r="E199" s="2" t="inlineStr">
        <is>
          <t>6月</t>
        </is>
      </c>
      <c r="F199" s="2" t="inlineStr">
        <is>
          <t>２６年 ５⽉ ◎</t>
        </is>
      </c>
    </row>
    <row r="200">
      <c r="A200" s="2" t="inlineStr">
        <is>
          <t>2026-05-15</t>
        </is>
      </c>
      <c r="B200" s="2" t="inlineStr">
        <is>
          <t>回収事務⼿数料</t>
        </is>
      </c>
      <c r="C200" s="2" t="inlineStr">
        <is>
          <t>手数料・利息</t>
        </is>
      </c>
      <c r="D200" s="3" t="n">
        <v>495</v>
      </c>
      <c r="E200" s="2" t="inlineStr">
        <is>
          <t>6月</t>
        </is>
      </c>
      <c r="F200" s="2" t="inlineStr">
        <is>
          <t>４⽉分</t>
        </is>
      </c>
    </row>
    <row r="201">
      <c r="A201" s="2" t="inlineStr">
        <is>
          <t>2026-05-22</t>
        </is>
      </c>
      <c r="B201" s="2" t="inlineStr">
        <is>
          <t>ドン‧キホーテ⻄宮店</t>
        </is>
      </c>
      <c r="C201" s="2" t="inlineStr">
        <is>
          <t>日用品・インテリア</t>
        </is>
      </c>
      <c r="D201" s="3" t="n">
        <v>4369</v>
      </c>
      <c r="E201" s="2" t="inlineStr">
        <is>
          <t>6月</t>
        </is>
      </c>
      <c r="F201" s="2" t="inlineStr">
        <is>
          <t>◎</t>
        </is>
      </c>
    </row>
    <row r="202">
      <c r="A202" s="2" t="inlineStr">
        <is>
          <t>2026-05-22</t>
        </is>
      </c>
      <c r="B202" s="2" t="inlineStr">
        <is>
          <t>ヤマダデンキ ＷＥＢ．ＣＯＭ</t>
        </is>
      </c>
      <c r="C202" s="2" t="inlineStr">
        <is>
          <t>ネットショッピング</t>
        </is>
      </c>
      <c r="D202" s="3" t="n">
        <v>15120</v>
      </c>
      <c r="E202" s="2" t="inlineStr">
        <is>
          <t>6月</t>
        </is>
      </c>
      <c r="F202" s="2" t="inlineStr">
        <is>
          <t>◎</t>
        </is>
      </c>
    </row>
    <row r="203">
      <c r="A203" s="2" t="inlineStr">
        <is>
          <t>2026-05-23</t>
        </is>
      </c>
      <c r="B203" s="2" t="inlineStr">
        <is>
          <t>マクドナルド</t>
        </is>
      </c>
      <c r="C203" s="2" t="inlineStr">
        <is>
          <t>外食・カフェ</t>
        </is>
      </c>
      <c r="D203" s="3" t="n">
        <v>1080</v>
      </c>
      <c r="E203" s="2" t="inlineStr">
        <is>
          <t>6月</t>
        </is>
      </c>
      <c r="F203" s="2" t="inlineStr">
        <is>
          <t>◎</t>
        </is>
      </c>
    </row>
    <row r="204">
      <c r="A204" s="2" t="inlineStr">
        <is>
          <t>2026-05-23</t>
        </is>
      </c>
      <c r="B204" s="2" t="inlineStr">
        <is>
          <t>オーケー 新在家店</t>
        </is>
      </c>
      <c r="C204" s="2" t="inlineStr">
        <is>
          <t>スーパー・食料品</t>
        </is>
      </c>
      <c r="D204" s="3" t="n">
        <v>3497</v>
      </c>
      <c r="E204" s="2" t="inlineStr">
        <is>
          <t>6月</t>
        </is>
      </c>
      <c r="F204" s="2" t="inlineStr">
        <is>
          <t>◎</t>
        </is>
      </c>
    </row>
    <row r="205">
      <c r="A205" s="2" t="inlineStr">
        <is>
          <t>2026-05-25</t>
        </is>
      </c>
      <c r="B205" s="2" t="inlineStr">
        <is>
          <t>ＡＭＡＺＯＮ．ＣＯ．ＪＰ</t>
        </is>
      </c>
      <c r="C205" s="2" t="inlineStr">
        <is>
          <t>ネットショッピング</t>
        </is>
      </c>
      <c r="D205" s="3" t="n">
        <v>3843</v>
      </c>
      <c r="E205" s="2" t="inlineStr">
        <is>
          <t>6月</t>
        </is>
      </c>
      <c r="F205" s="2" t="inlineStr">
        <is>
          <t>◎</t>
        </is>
      </c>
    </row>
    <row r="206">
      <c r="A206" s="2" t="inlineStr">
        <is>
          <t>2026-05-25</t>
        </is>
      </c>
      <c r="B206" s="2" t="inlineStr">
        <is>
          <t>ソニ－⽣命保険料</t>
        </is>
      </c>
      <c r="C206" s="2" t="inlineStr">
        <is>
          <t>保険</t>
        </is>
      </c>
      <c r="D206" s="3" t="n">
        <v>55420</v>
      </c>
      <c r="E206" s="2" t="inlineStr">
        <is>
          <t>6月</t>
        </is>
      </c>
      <c r="F206" s="2" t="inlineStr">
        <is>
          <t>◎</t>
        </is>
      </c>
    </row>
    <row r="207">
      <c r="A207" s="2" t="inlineStr">
        <is>
          <t>2026-05-28</t>
        </is>
      </c>
      <c r="B207" s="2" t="inlineStr">
        <is>
          <t>Ａｍａｚｏｎプライム会費</t>
        </is>
      </c>
      <c r="C207" s="2" t="inlineStr">
        <is>
          <t>通信費・サブスク</t>
        </is>
      </c>
      <c r="D207" s="3" t="n">
        <v>600</v>
      </c>
      <c r="E207" s="2" t="inlineStr">
        <is>
          <t>6月</t>
        </is>
      </c>
      <c r="F207" s="2" t="inlineStr">
        <is>
          <t>◎</t>
        </is>
      </c>
    </row>
    <row r="208">
      <c r="A208" s="2" t="inlineStr">
        <is>
          <t>2026-05-28</t>
        </is>
      </c>
      <c r="B208" s="2" t="inlineStr">
        <is>
          <t>ファミリーマート</t>
        </is>
      </c>
      <c r="C208" s="2" t="inlineStr">
        <is>
          <t>コンビニ</t>
        </is>
      </c>
      <c r="D208" s="3" t="n">
        <v>700</v>
      </c>
      <c r="E208" s="2" t="inlineStr">
        <is>
          <t>6月</t>
        </is>
      </c>
      <c r="F208" s="2" t="inlineStr">
        <is>
          <t>ファミリーマート 旧居留地東 ◎</t>
        </is>
      </c>
    </row>
    <row r="209">
      <c r="A209" s="2" t="inlineStr">
        <is>
          <t>2026-05-28</t>
        </is>
      </c>
      <c r="B209" s="2" t="inlineStr">
        <is>
          <t>ａｇｏｄａ</t>
        </is>
      </c>
      <c r="C209" s="2" t="inlineStr">
        <is>
          <t>旅行・宿泊（予約サイト）</t>
        </is>
      </c>
      <c r="D209" s="3" t="n">
        <v>8884</v>
      </c>
      <c r="E209" s="2" t="inlineStr">
        <is>
          <t>6月</t>
        </is>
      </c>
      <c r="F209" s="2" t="inlineStr">
        <is>
          <t>◎</t>
        </is>
      </c>
    </row>
    <row r="210">
      <c r="A210" s="2" t="inlineStr">
        <is>
          <t>2026-05-28</t>
        </is>
      </c>
      <c r="B210" s="2" t="inlineStr">
        <is>
          <t>ａｇｏｄａ</t>
        </is>
      </c>
      <c r="C210" s="2" t="inlineStr">
        <is>
          <t>旅行・宿泊（予約サイト）</t>
        </is>
      </c>
      <c r="D210" s="3" t="n">
        <v>9734</v>
      </c>
      <c r="E210" s="2" t="inlineStr">
        <is>
          <t>6月</t>
        </is>
      </c>
      <c r="F210" s="2" t="inlineStr">
        <is>
          <t>◎</t>
        </is>
      </c>
    </row>
    <row r="211">
      <c r="A211" s="2" t="inlineStr">
        <is>
          <t>2026-05-29</t>
        </is>
      </c>
      <c r="B211" s="2" t="inlineStr">
        <is>
          <t>セブン－イレブン</t>
        </is>
      </c>
      <c r="C211" s="2" t="inlineStr">
        <is>
          <t>コンビニ</t>
        </is>
      </c>
      <c r="D211" s="3" t="n">
        <v>729</v>
      </c>
      <c r="E211" s="2" t="inlineStr">
        <is>
          <t>6月</t>
        </is>
      </c>
      <c r="F211" s="2" t="inlineStr">
        <is>
          <t>◎</t>
        </is>
      </c>
    </row>
    <row r="212">
      <c r="A212" s="2" t="inlineStr">
        <is>
          <t>2026-05-29</t>
        </is>
      </c>
      <c r="B212" s="2" t="inlineStr">
        <is>
          <t>Ｍａｓｈｉｓｓｏｙｏ</t>
        </is>
      </c>
      <c r="C212" s="2" t="inlineStr">
        <is>
          <t>外食・カフェ</t>
        </is>
      </c>
      <c r="D212" s="3" t="n">
        <v>3420</v>
      </c>
      <c r="E212" s="2" t="inlineStr">
        <is>
          <t>6月</t>
        </is>
      </c>
      <c r="F212" s="2" t="inlineStr">
        <is>
          <t>◎</t>
        </is>
      </c>
    </row>
    <row r="213">
      <c r="A213" s="2" t="inlineStr">
        <is>
          <t>2026-05-31</t>
        </is>
      </c>
      <c r="B213" s="2" t="inlineStr">
        <is>
          <t>スターバックスコーヒージャパン</t>
        </is>
      </c>
      <c r="C213" s="2" t="inlineStr">
        <is>
          <t>外食・カフェ</t>
        </is>
      </c>
      <c r="D213" s="3" t="n">
        <v>1091</v>
      </c>
      <c r="E213" s="2" t="inlineStr">
        <is>
          <t>6月</t>
        </is>
      </c>
      <c r="F213" s="2" t="inlineStr">
        <is>
          <t>◎</t>
        </is>
      </c>
    </row>
    <row r="214">
      <c r="A214" s="2" t="inlineStr">
        <is>
          <t>2026-05-31</t>
        </is>
      </c>
      <c r="B214" s="2" t="inlineStr">
        <is>
          <t>ファミリーマート</t>
        </is>
      </c>
      <c r="C214" s="2" t="inlineStr">
        <is>
          <t>コンビニ</t>
        </is>
      </c>
      <c r="D214" s="3" t="n">
        <v>193</v>
      </c>
      <c r="E214" s="2" t="inlineStr">
        <is>
          <t>6月</t>
        </is>
      </c>
      <c r="F214" s="2" t="inlineStr">
        <is>
          <t>ファミリーマート ザロイヤルパークキャン ◎</t>
        </is>
      </c>
    </row>
    <row r="215">
      <c r="A215" s="2" t="inlineStr">
        <is>
          <t>2026-05-31</t>
        </is>
      </c>
      <c r="B215" s="2" t="inlineStr">
        <is>
          <t>ドン‧キホーテ三宮オーパセンター街店</t>
        </is>
      </c>
      <c r="C215" s="2" t="inlineStr">
        <is>
          <t>日用品・インテリア</t>
        </is>
      </c>
      <c r="D215" s="3" t="n">
        <v>646</v>
      </c>
      <c r="E215" s="2" t="inlineStr">
        <is>
          <t>6月</t>
        </is>
      </c>
      <c r="F215" s="2" t="inlineStr">
        <is>
          <t>◎</t>
        </is>
      </c>
    </row>
    <row r="216">
      <c r="A216" s="2" t="inlineStr">
        <is>
          <t>2026-05-31</t>
        </is>
      </c>
      <c r="B216" s="2" t="inlineStr">
        <is>
          <t>⼤阪中華 サワダ飯店</t>
        </is>
      </c>
      <c r="C216" s="2" t="inlineStr">
        <is>
          <t>外食・カフェ</t>
        </is>
      </c>
      <c r="D216" s="3" t="n">
        <v>2930</v>
      </c>
      <c r="E216" s="2" t="inlineStr">
        <is>
          <t>6月</t>
        </is>
      </c>
      <c r="F216" s="2" t="inlineStr">
        <is>
          <t>◎</t>
        </is>
      </c>
    </row>
    <row r="217">
      <c r="A217" s="2" t="inlineStr">
        <is>
          <t>2026-05-31</t>
        </is>
      </c>
      <c r="B217" s="2" t="inlineStr">
        <is>
          <t>パンカラト</t>
        </is>
      </c>
      <c r="C217" s="2" t="inlineStr">
        <is>
          <t>外食・カフェ</t>
        </is>
      </c>
      <c r="D217" s="3" t="n">
        <v>1158</v>
      </c>
      <c r="E217" s="2" t="inlineStr">
        <is>
          <t>6月</t>
        </is>
      </c>
      <c r="F217" s="2" t="inlineStr">
        <is>
          <t>◎</t>
        </is>
      </c>
    </row>
    <row r="218">
      <c r="A218" s="2" t="inlineStr">
        <is>
          <t>2026-05-28</t>
        </is>
      </c>
      <c r="B218" s="2" t="inlineStr">
        <is>
          <t>関⻄電⼒ 電気</t>
        </is>
      </c>
      <c r="C218" s="2" t="inlineStr">
        <is>
          <t>水道光熱費</t>
        </is>
      </c>
      <c r="D218" s="3" t="n">
        <v>8005</v>
      </c>
      <c r="E218" s="2" t="inlineStr">
        <is>
          <t>7月</t>
        </is>
      </c>
      <c r="F218" s="2" t="inlineStr">
        <is>
          <t>２６年 ５⽉ ◎</t>
        </is>
      </c>
    </row>
    <row r="219">
      <c r="A219" s="2" t="inlineStr">
        <is>
          <t>2026-06-02</t>
        </is>
      </c>
      <c r="B219" s="2" t="inlineStr">
        <is>
          <t>関⻄電⼒ 電気</t>
        </is>
      </c>
      <c r="C219" s="2" t="inlineStr">
        <is>
          <t>水道光熱費</t>
        </is>
      </c>
      <c r="D219" s="3" t="n">
        <v>3705</v>
      </c>
      <c r="E219" s="2" t="inlineStr">
        <is>
          <t>7月</t>
        </is>
      </c>
      <c r="F219" s="2" t="inlineStr">
        <is>
          <t>２６年 ６⽉ ◎</t>
        </is>
      </c>
    </row>
    <row r="220">
      <c r="A220" s="2" t="inlineStr">
        <is>
          <t>2026-06-03</t>
        </is>
      </c>
      <c r="B220" s="2" t="inlineStr">
        <is>
          <t>関⻄電⼒ 電気</t>
        </is>
      </c>
      <c r="C220" s="2" t="inlineStr">
        <is>
          <t>水道光熱費</t>
        </is>
      </c>
      <c r="D220" s="3" t="n">
        <v>288</v>
      </c>
      <c r="E220" s="2" t="inlineStr">
        <is>
          <t>7月</t>
        </is>
      </c>
      <c r="F220" s="2" t="inlineStr">
        <is>
          <t>２６年 ６⽉ ◎</t>
        </is>
      </c>
    </row>
    <row r="221">
      <c r="A221" s="2" t="inlineStr">
        <is>
          <t>2026-06-06</t>
        </is>
      </c>
      <c r="B221" s="2" t="inlineStr">
        <is>
          <t>セブン－イレブン</t>
        </is>
      </c>
      <c r="C221" s="2" t="inlineStr">
        <is>
          <t>コンビニ</t>
        </is>
      </c>
      <c r="D221" s="3" t="n">
        <v>314</v>
      </c>
      <c r="E221" s="2" t="inlineStr">
        <is>
          <t>7月</t>
        </is>
      </c>
      <c r="F221" s="2" t="inlineStr">
        <is>
          <t>◎</t>
        </is>
      </c>
    </row>
    <row r="222">
      <c r="A222" s="2" t="inlineStr">
        <is>
          <t>2026-06-06</t>
        </is>
      </c>
      <c r="B222" s="2" t="inlineStr">
        <is>
          <t>タイムズカー</t>
        </is>
      </c>
      <c r="C222" s="2" t="inlineStr">
        <is>
          <t>交通費</t>
        </is>
      </c>
      <c r="D222" s="3" t="n">
        <v>5740</v>
      </c>
      <c r="E222" s="2" t="inlineStr">
        <is>
          <t>7月</t>
        </is>
      </c>
      <c r="F222" s="2" t="inlineStr">
        <is>
          <t>２０２６０６リヨウリヨウキン ◎</t>
        </is>
      </c>
    </row>
    <row r="223">
      <c r="A223" s="2" t="inlineStr">
        <is>
          <t>2026-06-06</t>
        </is>
      </c>
      <c r="B223" s="2" t="inlineStr">
        <is>
          <t>リンガーハット 垂⽔⼩束⼭店</t>
        </is>
      </c>
      <c r="C223" s="2" t="inlineStr">
        <is>
          <t>外食・カフェ</t>
        </is>
      </c>
      <c r="D223" s="3" t="n">
        <v>2360</v>
      </c>
      <c r="E223" s="2" t="inlineStr">
        <is>
          <t>7月</t>
        </is>
      </c>
      <c r="F223" s="2" t="inlineStr">
        <is>
          <t>◎</t>
        </is>
      </c>
    </row>
    <row r="224">
      <c r="A224" s="2" t="inlineStr">
        <is>
          <t>2026-06-07</t>
        </is>
      </c>
      <c r="B224" s="2" t="inlineStr">
        <is>
          <t>ＡＭＡＺＯＮ．ＣＯ．ＪＰ</t>
        </is>
      </c>
      <c r="C224" s="2" t="inlineStr">
        <is>
          <t>ネットショッピング</t>
        </is>
      </c>
      <c r="D224" s="3" t="n">
        <v>1268</v>
      </c>
      <c r="E224" s="2" t="inlineStr">
        <is>
          <t>7月</t>
        </is>
      </c>
      <c r="F224" s="2" t="inlineStr">
        <is>
          <t>◎</t>
        </is>
      </c>
    </row>
    <row r="225">
      <c r="A225" s="2" t="inlineStr">
        <is>
          <t>2026-06-07</t>
        </is>
      </c>
      <c r="B225" s="2" t="inlineStr">
        <is>
          <t>ＡＭＡＺＯＮ．ＣＯ．ＪＰ</t>
        </is>
      </c>
      <c r="C225" s="2" t="inlineStr">
        <is>
          <t>ネットショッピング</t>
        </is>
      </c>
      <c r="D225" s="3" t="n">
        <v>1047</v>
      </c>
      <c r="E225" s="2" t="inlineStr">
        <is>
          <t>7月</t>
        </is>
      </c>
      <c r="F225" s="2" t="inlineStr">
        <is>
          <t>◎</t>
        </is>
      </c>
    </row>
    <row r="226">
      <c r="A226" s="2" t="inlineStr">
        <is>
          <t>2026-06-07</t>
        </is>
      </c>
      <c r="B226" s="2" t="inlineStr">
        <is>
          <t>タイムズカー</t>
        </is>
      </c>
      <c r="C226" s="2" t="inlineStr">
        <is>
          <t>交通費</t>
        </is>
      </c>
      <c r="D226" s="3" t="n">
        <v>3080</v>
      </c>
      <c r="E226" s="2" t="inlineStr">
        <is>
          <t>7月</t>
        </is>
      </c>
      <c r="F226" s="2" t="inlineStr">
        <is>
          <t>２０２６０６リヨウリヨウキン ◎</t>
        </is>
      </c>
    </row>
    <row r="227">
      <c r="A227" s="2" t="inlineStr">
        <is>
          <t>2026-06-08</t>
        </is>
      </c>
      <c r="B227" s="2" t="inlineStr">
        <is>
          <t>スギ薬局 三宮店</t>
        </is>
      </c>
      <c r="C227" s="2" t="inlineStr">
        <is>
          <t>ドラッグストア</t>
        </is>
      </c>
      <c r="D227" s="3" t="n">
        <v>1022</v>
      </c>
      <c r="E227" s="2" t="inlineStr">
        <is>
          <t>7月</t>
        </is>
      </c>
      <c r="F227" s="2" t="inlineStr">
        <is>
          <t>◎</t>
        </is>
      </c>
    </row>
    <row r="228">
      <c r="A228" s="2" t="inlineStr">
        <is>
          <t>2026-06-09</t>
        </is>
      </c>
      <c r="B228" s="2" t="inlineStr">
        <is>
          <t>阪急オアシス</t>
        </is>
      </c>
      <c r="C228" s="2" t="inlineStr">
        <is>
          <t>スーパー・食料品</t>
        </is>
      </c>
      <c r="D228" s="3" t="n">
        <v>572</v>
      </c>
      <c r="E228" s="2" t="inlineStr">
        <is>
          <t>7月</t>
        </is>
      </c>
      <c r="F228" s="2" t="inlineStr">
        <is>
          <t>◎</t>
        </is>
      </c>
    </row>
    <row r="229">
      <c r="A229" s="2" t="inlineStr">
        <is>
          <t>2026-06-09</t>
        </is>
      </c>
      <c r="B229" s="2" t="inlineStr">
        <is>
          <t>ファミリーマート</t>
        </is>
      </c>
      <c r="C229" s="2" t="inlineStr">
        <is>
          <t>コンビニ</t>
        </is>
      </c>
      <c r="D229" s="3" t="n">
        <v>398</v>
      </c>
      <c r="E229" s="2" t="inlineStr">
        <is>
          <t>7月</t>
        </is>
      </c>
      <c r="F229" s="2" t="inlineStr">
        <is>
          <t>ファミリーマート 旧居留地東 ◎</t>
        </is>
      </c>
    </row>
    <row r="230">
      <c r="A230" s="2" t="inlineStr">
        <is>
          <t>2026-06-11</t>
        </is>
      </c>
      <c r="B230" s="2" t="inlineStr">
        <is>
          <t>ＡＭＡＺＯＮ．ＣＯ．ＪＰ</t>
        </is>
      </c>
      <c r="C230" s="2" t="inlineStr">
        <is>
          <t>ネットショッピング</t>
        </is>
      </c>
      <c r="D230" s="3" t="n">
        <v>1894</v>
      </c>
      <c r="E230" s="2" t="inlineStr">
        <is>
          <t>7月</t>
        </is>
      </c>
      <c r="F230" s="2" t="inlineStr">
        <is>
          <t>◎</t>
        </is>
      </c>
    </row>
    <row r="231">
      <c r="A231" s="2" t="inlineStr">
        <is>
          <t>2026-06-11</t>
        </is>
      </c>
      <c r="B231" s="2" t="inlineStr">
        <is>
          <t>関⻄電⼒ガス</t>
        </is>
      </c>
      <c r="C231" s="2" t="inlineStr">
        <is>
          <t>水道光熱費</t>
        </is>
      </c>
      <c r="D231" s="3" t="n">
        <v>3161</v>
      </c>
      <c r="E231" s="2" t="inlineStr">
        <is>
          <t>7月</t>
        </is>
      </c>
      <c r="F231" s="2" t="inlineStr">
        <is>
          <t>２６年 ６⽉ ◎</t>
        </is>
      </c>
    </row>
    <row r="232">
      <c r="A232" s="2" t="inlineStr">
        <is>
          <t>2026-06-13</t>
        </is>
      </c>
      <c r="B232" s="2" t="inlineStr">
        <is>
          <t>タイムズカー</t>
        </is>
      </c>
      <c r="C232" s="2" t="inlineStr">
        <is>
          <t>交通費</t>
        </is>
      </c>
      <c r="D232" s="3" t="n">
        <v>2420</v>
      </c>
      <c r="E232" s="2" t="inlineStr">
        <is>
          <t>7月</t>
        </is>
      </c>
      <c r="F232" s="2" t="inlineStr">
        <is>
          <t>２０２６０６リヨウリヨウキン ◎</t>
        </is>
      </c>
    </row>
    <row r="233">
      <c r="A233" s="2" t="inlineStr">
        <is>
          <t>2026-06-14</t>
        </is>
      </c>
      <c r="B233" s="2" t="inlineStr">
        <is>
          <t>ＡＭＡＺＯＮ．ＣＯ．ＪＰ</t>
        </is>
      </c>
      <c r="C233" s="2" t="inlineStr">
        <is>
          <t>ネットショッピング</t>
        </is>
      </c>
      <c r="D233" s="3" t="n">
        <v>2102</v>
      </c>
      <c r="E233" s="2" t="inlineStr">
        <is>
          <t>7月</t>
        </is>
      </c>
      <c r="F233" s="2" t="inlineStr">
        <is>
          <t>◎</t>
        </is>
      </c>
    </row>
    <row r="234">
      <c r="A234" s="2" t="inlineStr">
        <is>
          <t>2026-06-14</t>
        </is>
      </c>
      <c r="B234" s="2" t="inlineStr">
        <is>
          <t>ベルトラ</t>
        </is>
      </c>
      <c r="C234" s="2" t="inlineStr">
        <is>
          <t>旅行・宿泊（予約サイト）</t>
        </is>
      </c>
      <c r="D234" s="3" t="n">
        <v>34008</v>
      </c>
      <c r="E234" s="2" t="inlineStr">
        <is>
          <t>7月</t>
        </is>
      </c>
      <c r="F234" s="2" t="inlineStr">
        <is>
          <t>◎</t>
        </is>
      </c>
    </row>
    <row r="235">
      <c r="A235" s="2" t="inlineStr">
        <is>
          <t>2026-06-14</t>
        </is>
      </c>
      <c r="B235" s="2" t="inlineStr">
        <is>
          <t>ＧＯ（タクシーアプリ）＊アプリ配⾞</t>
        </is>
      </c>
      <c r="C235" s="2" t="inlineStr">
        <is>
          <t>通信費・サブスク</t>
        </is>
      </c>
      <c r="D235" s="3" t="n">
        <v>1900</v>
      </c>
      <c r="E235" s="2" t="inlineStr">
        <is>
          <t>7月</t>
        </is>
      </c>
      <c r="F235" s="2" t="inlineStr">
        <is>
          <t>◎</t>
        </is>
      </c>
    </row>
    <row r="236">
      <c r="A236" s="2" t="inlineStr">
        <is>
          <t>2026-06-14</t>
        </is>
      </c>
      <c r="B236" s="2" t="inlineStr">
        <is>
          <t>ＧＯアプリ（プレミアム）</t>
        </is>
      </c>
      <c r="C236" s="2" t="inlineStr">
        <is>
          <t>通信費・サブスク</t>
        </is>
      </c>
      <c r="D236" s="3" t="n">
        <v>1900</v>
      </c>
      <c r="E236" s="2" t="inlineStr">
        <is>
          <t>7月</t>
        </is>
      </c>
      <c r="F236" s="2" t="inlineStr">
        <is>
          <t>◎</t>
        </is>
      </c>
    </row>
    <row r="237">
      <c r="A237" s="2" t="inlineStr">
        <is>
          <t>2026-06-16</t>
        </is>
      </c>
      <c r="B237" s="2" t="inlineStr">
        <is>
          <t>スギ薬局 三宮店</t>
        </is>
      </c>
      <c r="C237" s="2" t="inlineStr">
        <is>
          <t>ドラッグストア</t>
        </is>
      </c>
      <c r="D237" s="3" t="n">
        <v>1030</v>
      </c>
      <c r="E237" s="2" t="inlineStr">
        <is>
          <t>7月</t>
        </is>
      </c>
      <c r="F237" s="2" t="inlineStr">
        <is>
          <t>◎</t>
        </is>
      </c>
    </row>
    <row r="238">
      <c r="A238" s="2" t="inlineStr">
        <is>
          <t>2026-06-17</t>
        </is>
      </c>
      <c r="B238" s="2" t="inlineStr">
        <is>
          <t>ベルトラ</t>
        </is>
      </c>
      <c r="C238" s="2" t="inlineStr">
        <is>
          <t>旅行・宿泊（予約サイト）</t>
        </is>
      </c>
      <c r="D238" s="3" t="n">
        <v>65886</v>
      </c>
      <c r="E238" s="2" t="inlineStr">
        <is>
          <t>7月</t>
        </is>
      </c>
      <c r="F238" s="2" t="inlineStr">
        <is>
          <t>◎</t>
        </is>
      </c>
    </row>
    <row r="239">
      <c r="A239" s="2" t="inlineStr">
        <is>
          <t>2026-06-19</t>
        </is>
      </c>
      <c r="B239" s="2" t="inlineStr">
        <is>
          <t>ＩＫＥＡ神⼾</t>
        </is>
      </c>
      <c r="C239" s="2" t="inlineStr">
        <is>
          <t>日用品・インテリア</t>
        </is>
      </c>
      <c r="D239" s="3" t="n">
        <v>948</v>
      </c>
      <c r="E239" s="2" t="inlineStr">
        <is>
          <t>7月</t>
        </is>
      </c>
      <c r="F239" s="2" t="inlineStr">
        <is>
          <t>◎</t>
        </is>
      </c>
    </row>
    <row r="240">
      <c r="A240" s="2" t="inlineStr">
        <is>
          <t>2026-06-19</t>
        </is>
      </c>
      <c r="B240" s="2" t="inlineStr">
        <is>
          <t>ＣＯＮＥ</t>
        </is>
      </c>
      <c r="C240" s="2" t="inlineStr">
        <is>
          <t>通信費・サブスク</t>
        </is>
      </c>
      <c r="D240" s="3" t="n">
        <v>2330</v>
      </c>
      <c r="E240" s="2" t="inlineStr">
        <is>
          <t>7月</t>
        </is>
      </c>
      <c r="F240" s="2" t="inlineStr">
        <is>
          <t>◎</t>
        </is>
      </c>
    </row>
    <row r="241">
      <c r="A241" s="2" t="inlineStr">
        <is>
          <t>2026-06-20</t>
        </is>
      </c>
      <c r="B241" s="2" t="inlineStr">
        <is>
          <t>ＫＯＢＥニュ－ワ－ルド阪急三宮∕ＮＦＣ</t>
        </is>
      </c>
      <c r="C241" s="2" t="inlineStr">
        <is>
          <t>レジャー・娯楽</t>
        </is>
      </c>
      <c r="D241" s="3" t="n">
        <v>2838</v>
      </c>
      <c r="E241" s="2" t="inlineStr">
        <is>
          <t>7月</t>
        </is>
      </c>
      <c r="F241" s="2" t="inlineStr">
        <is>
          <t>◎</t>
        </is>
      </c>
    </row>
    <row r="242">
      <c r="A242" s="2" t="inlineStr">
        <is>
          <t>2026-06-20</t>
        </is>
      </c>
      <c r="B242" s="2" t="inlineStr">
        <is>
          <t>スターバックスコーヒージャパン</t>
        </is>
      </c>
      <c r="C242" s="2" t="inlineStr">
        <is>
          <t>外食・カフェ</t>
        </is>
      </c>
      <c r="D242" s="3" t="n">
        <v>700</v>
      </c>
      <c r="E242" s="2" t="inlineStr">
        <is>
          <t>7月</t>
        </is>
      </c>
      <c r="F242" s="2" t="inlineStr">
        <is>
          <t>◎</t>
        </is>
      </c>
    </row>
    <row r="243">
      <c r="A243" s="2" t="inlineStr">
        <is>
          <t>2026-06-21</t>
        </is>
      </c>
      <c r="B243" s="2" t="inlineStr">
        <is>
          <t>ホームセンターコーナン ハーバーランド店</t>
        </is>
      </c>
      <c r="C243" s="2" t="inlineStr">
        <is>
          <t>日用品・インテリア</t>
        </is>
      </c>
      <c r="D243" s="3" t="n">
        <v>4773</v>
      </c>
      <c r="E243" s="2" t="inlineStr">
        <is>
          <t>7月</t>
        </is>
      </c>
      <c r="F243" s="2" t="inlineStr">
        <is>
          <t>◎</t>
        </is>
      </c>
    </row>
    <row r="244">
      <c r="A244" s="2" t="inlineStr">
        <is>
          <t>2026-06-21</t>
        </is>
      </c>
      <c r="B244" s="2" t="inlineStr">
        <is>
          <t>ｕｍｉｅＮＯＲＴＨＭＡＬＬ‧ＳＯＵＴＨＭ</t>
        </is>
      </c>
      <c r="C244" s="2" t="inlineStr">
        <is>
          <t>ショッピングモール・百貨店</t>
        </is>
      </c>
      <c r="D244" s="3" t="n">
        <v>3520</v>
      </c>
      <c r="E244" s="2" t="inlineStr">
        <is>
          <t>7月</t>
        </is>
      </c>
      <c r="F244" s="2" t="inlineStr">
        <is>
          <t>◎</t>
        </is>
      </c>
    </row>
    <row r="245">
      <c r="A245" s="2" t="inlineStr">
        <is>
          <t>2026-06-21</t>
        </is>
      </c>
      <c r="B245" s="2" t="inlineStr">
        <is>
          <t>ダイソー∕ＮＦＣ</t>
        </is>
      </c>
      <c r="C245" s="2" t="inlineStr">
        <is>
          <t>日用品・インテリア</t>
        </is>
      </c>
      <c r="D245" s="3" t="n">
        <v>550</v>
      </c>
      <c r="E245" s="2" t="inlineStr">
        <is>
          <t>7月</t>
        </is>
      </c>
      <c r="F245" s="2" t="inlineStr">
        <is>
          <t>◎</t>
        </is>
      </c>
    </row>
    <row r="246">
      <c r="A246" s="2" t="inlineStr">
        <is>
          <t>2026-06-21</t>
        </is>
      </c>
      <c r="B246" s="2" t="inlineStr">
        <is>
          <t>イオンリテール</t>
        </is>
      </c>
      <c r="C246" s="2" t="inlineStr">
        <is>
          <t>スーパー・食料品</t>
        </is>
      </c>
      <c r="D246" s="3" t="n">
        <v>2532</v>
      </c>
      <c r="E246" s="2" t="inlineStr">
        <is>
          <t>7月</t>
        </is>
      </c>
      <c r="F246" s="2" t="inlineStr">
        <is>
          <t>◎</t>
        </is>
      </c>
    </row>
    <row r="247">
      <c r="A247" s="2" t="inlineStr">
        <is>
          <t>2026-06-21</t>
        </is>
      </c>
      <c r="B247" s="2" t="inlineStr">
        <is>
          <t>タイムズカー</t>
        </is>
      </c>
      <c r="C247" s="2" t="inlineStr">
        <is>
          <t>交通費</t>
        </is>
      </c>
      <c r="D247" s="3" t="n">
        <v>3300</v>
      </c>
      <c r="E247" s="2" t="inlineStr">
        <is>
          <t>7月</t>
        </is>
      </c>
      <c r="F247" s="2" t="inlineStr">
        <is>
          <t>２０２６０６リヨウリヨウキン ◎</t>
        </is>
      </c>
    </row>
    <row r="248">
      <c r="A248" s="2" t="inlineStr">
        <is>
          <t>2026-06-22</t>
        </is>
      </c>
      <c r="B248" s="2" t="inlineStr">
        <is>
          <t>ＡＭＡＺＯＮ．ＣＯ．ＪＰ</t>
        </is>
      </c>
      <c r="C248" s="2" t="inlineStr">
        <is>
          <t>ネットショッピング</t>
        </is>
      </c>
      <c r="D248" s="3" t="n">
        <v>768</v>
      </c>
      <c r="E248" s="2" t="inlineStr">
        <is>
          <t>7月</t>
        </is>
      </c>
      <c r="F248" s="2" t="inlineStr">
        <is>
          <t>◎</t>
        </is>
      </c>
    </row>
    <row r="249">
      <c r="A249" s="2" t="inlineStr">
        <is>
          <t>2026-06-22</t>
        </is>
      </c>
      <c r="B249" s="2" t="inlineStr">
        <is>
          <t>ＡＭＡＺＯＮ．ＣＯ．ＪＰ</t>
        </is>
      </c>
      <c r="C249" s="2" t="inlineStr">
        <is>
          <t>ネットショッピング</t>
        </is>
      </c>
      <c r="D249" s="3" t="n">
        <v>5240</v>
      </c>
      <c r="E249" s="2" t="inlineStr">
        <is>
          <t>7月</t>
        </is>
      </c>
      <c r="F249" s="2" t="inlineStr">
        <is>
          <t>◎</t>
        </is>
      </c>
    </row>
    <row r="250">
      <c r="A250" s="2" t="inlineStr">
        <is>
          <t>2026-06-22</t>
        </is>
      </c>
      <c r="B250" s="2" t="inlineStr">
        <is>
          <t>ＡＭＡＺＯＮ．ＣＯ．ＪＰ</t>
        </is>
      </c>
      <c r="C250" s="2" t="inlineStr">
        <is>
          <t>ネットショッピング</t>
        </is>
      </c>
      <c r="D250" s="3" t="n">
        <v>1698</v>
      </c>
      <c r="E250" s="2" t="inlineStr">
        <is>
          <t>7月</t>
        </is>
      </c>
      <c r="F250" s="2" t="inlineStr">
        <is>
          <t>◎</t>
        </is>
      </c>
    </row>
    <row r="251">
      <c r="A251" s="2" t="inlineStr">
        <is>
          <t>2026-06-22</t>
        </is>
      </c>
      <c r="B251" s="2" t="inlineStr">
        <is>
          <t>阪急オアシス</t>
        </is>
      </c>
      <c r="C251" s="2" t="inlineStr">
        <is>
          <t>スーパー・食料品</t>
        </is>
      </c>
      <c r="D251" s="3" t="n">
        <v>549</v>
      </c>
      <c r="E251" s="2" t="inlineStr">
        <is>
          <t>7月</t>
        </is>
      </c>
      <c r="F251" s="2" t="inlineStr">
        <is>
          <t>◎</t>
        </is>
      </c>
    </row>
    <row r="252">
      <c r="A252" s="2" t="inlineStr">
        <is>
          <t>2026-06-22</t>
        </is>
      </c>
      <c r="B252" s="2" t="inlineStr">
        <is>
          <t>ユニクロ∕ＮＦＣ</t>
        </is>
      </c>
      <c r="C252" s="2" t="inlineStr">
        <is>
          <t>ファッション・美容</t>
        </is>
      </c>
      <c r="D252" s="3" t="n">
        <v>2020</v>
      </c>
      <c r="E252" s="2" t="inlineStr">
        <is>
          <t>7月</t>
        </is>
      </c>
      <c r="F252" s="2" t="inlineStr">
        <is>
          <t>◎</t>
        </is>
      </c>
    </row>
    <row r="253">
      <c r="A253" s="2" t="inlineStr">
        <is>
          <t>2026-06-22</t>
        </is>
      </c>
      <c r="B253" s="2" t="inlineStr">
        <is>
          <t>ユニクロ∕ＮＦＣ</t>
        </is>
      </c>
      <c r="C253" s="2" t="inlineStr">
        <is>
          <t>ファッション・美容</t>
        </is>
      </c>
      <c r="D253" s="3" t="n">
        <v>1980</v>
      </c>
      <c r="E253" s="2" t="inlineStr">
        <is>
          <t>7月</t>
        </is>
      </c>
      <c r="F253" s="2" t="inlineStr">
        <is>
          <t>◎</t>
        </is>
      </c>
    </row>
    <row r="254">
      <c r="A254" s="2" t="inlineStr">
        <is>
          <t>2026-06-23</t>
        </is>
      </c>
      <c r="B254" s="2" t="inlineStr">
        <is>
          <t>ユニクロ∕ＮＦＣ</t>
        </is>
      </c>
      <c r="C254" s="2" t="inlineStr">
        <is>
          <t>ファッション・美容</t>
        </is>
      </c>
      <c r="D254" s="3" t="n">
        <v>11000</v>
      </c>
      <c r="E254" s="2" t="inlineStr">
        <is>
          <t>7月</t>
        </is>
      </c>
      <c r="F254" s="2" t="inlineStr">
        <is>
          <t>◎</t>
        </is>
      </c>
    </row>
    <row r="255">
      <c r="A255" s="2" t="inlineStr">
        <is>
          <t>2026-06-24</t>
        </is>
      </c>
      <c r="B255" s="2" t="inlineStr">
        <is>
          <t>Ｔｒｉｐ．ｃｏｍ</t>
        </is>
      </c>
      <c r="C255" s="2" t="inlineStr">
        <is>
          <t>旅行・宿泊（予約サイト）</t>
        </is>
      </c>
      <c r="D255" s="3" t="n">
        <v>13590</v>
      </c>
      <c r="E255" s="2" t="inlineStr">
        <is>
          <t>7月</t>
        </is>
      </c>
      <c r="F255" s="2" t="inlineStr">
        <is>
          <t>◎</t>
        </is>
      </c>
    </row>
    <row r="256">
      <c r="A256" s="2" t="inlineStr">
        <is>
          <t>2026-06-24</t>
        </is>
      </c>
      <c r="B256" s="2" t="inlineStr">
        <is>
          <t>OMIO (BERLIN ALEMAN)</t>
        </is>
      </c>
      <c r="C256" s="2" t="inlineStr">
        <is>
          <t>旅行・宿泊（予約サイト）</t>
        </is>
      </c>
      <c r="D256" s="3" t="n">
        <v>17588</v>
      </c>
      <c r="E256" s="2" t="inlineStr">
        <is>
          <t>7月</t>
        </is>
      </c>
      <c r="F256" s="2" t="inlineStr">
        <is>
          <t>17588.00 JPY 1.0000 06 25 ◎</t>
        </is>
      </c>
    </row>
    <row r="257">
      <c r="A257" s="2" t="inlineStr">
        <is>
          <t>2026-06-25</t>
        </is>
      </c>
      <c r="B257" s="2" t="inlineStr">
        <is>
          <t>Ｒｅｎｔｉｏ</t>
        </is>
      </c>
      <c r="C257" s="2" t="inlineStr">
        <is>
          <t>通信費・サブスク</t>
        </is>
      </c>
      <c r="D257" s="3" t="n">
        <v>5988</v>
      </c>
      <c r="E257" s="2" t="inlineStr">
        <is>
          <t>7月</t>
        </is>
      </c>
      <c r="F257" s="2" t="inlineStr">
        <is>
          <t>◎</t>
        </is>
      </c>
    </row>
    <row r="258">
      <c r="A258" s="2" t="inlineStr">
        <is>
          <t>2026-06-25</t>
        </is>
      </c>
      <c r="B258" s="2" t="inlineStr">
        <is>
          <t>阪急オアシス</t>
        </is>
      </c>
      <c r="C258" s="2" t="inlineStr">
        <is>
          <t>スーパー・食料品</t>
        </is>
      </c>
      <c r="D258" s="3" t="n">
        <v>1271</v>
      </c>
      <c r="E258" s="2" t="inlineStr">
        <is>
          <t>7月</t>
        </is>
      </c>
      <c r="F258" s="2" t="inlineStr">
        <is>
          <t>◎</t>
        </is>
      </c>
    </row>
    <row r="259">
      <c r="A259" s="2" t="inlineStr">
        <is>
          <t>2026-06-25</t>
        </is>
      </c>
      <c r="B259" s="2" t="inlineStr">
        <is>
          <t>スギ薬局 三宮店</t>
        </is>
      </c>
      <c r="C259" s="2" t="inlineStr">
        <is>
          <t>ドラッグストア</t>
        </is>
      </c>
      <c r="D259" s="3" t="n">
        <v>5829</v>
      </c>
      <c r="E259" s="2" t="inlineStr">
        <is>
          <t>7月</t>
        </is>
      </c>
      <c r="F259" s="2" t="inlineStr">
        <is>
          <t>◎</t>
        </is>
      </c>
    </row>
    <row r="260">
      <c r="A260" s="2" t="inlineStr">
        <is>
          <t>2026-06-25</t>
        </is>
      </c>
      <c r="B260" s="2" t="inlineStr">
        <is>
          <t>ソニ－⽣命保険料</t>
        </is>
      </c>
      <c r="C260" s="2" t="inlineStr">
        <is>
          <t>保険</t>
        </is>
      </c>
      <c r="D260" s="3" t="n">
        <v>55420</v>
      </c>
      <c r="E260" s="2" t="inlineStr">
        <is>
          <t>7月</t>
        </is>
      </c>
      <c r="F260" s="2" t="inlineStr">
        <is>
          <t>◎</t>
        </is>
      </c>
    </row>
    <row r="261">
      <c r="A261" s="2" t="inlineStr">
        <is>
          <t>2026-06-25</t>
        </is>
      </c>
      <c r="B261" s="2" t="inlineStr">
        <is>
          <t>ダイエー</t>
        </is>
      </c>
      <c r="C261" s="2" t="inlineStr">
        <is>
          <t>スーパー・食料品</t>
        </is>
      </c>
      <c r="D261" s="3" t="n">
        <v>1507</v>
      </c>
      <c r="E261" s="2" t="inlineStr">
        <is>
          <t>7月</t>
        </is>
      </c>
      <c r="F261" s="2" t="inlineStr">
        <is>
          <t>◎</t>
        </is>
      </c>
    </row>
    <row r="262">
      <c r="A262" s="2" t="inlineStr">
        <is>
          <t>2026-06-26</t>
        </is>
      </c>
      <c r="B262" s="2" t="inlineStr">
        <is>
          <t>ダイエー</t>
        </is>
      </c>
      <c r="C262" s="2" t="inlineStr">
        <is>
          <t>スーパー・食料品</t>
        </is>
      </c>
      <c r="D262" s="3" t="n">
        <v>760</v>
      </c>
      <c r="E262" s="2" t="inlineStr">
        <is>
          <t>7月</t>
        </is>
      </c>
      <c r="F262" s="2" t="inlineStr">
        <is>
          <t>◎</t>
        </is>
      </c>
    </row>
    <row r="263">
      <c r="A263" s="2" t="inlineStr">
        <is>
          <t>2026-06-27</t>
        </is>
      </c>
      <c r="B263" s="2" t="inlineStr">
        <is>
          <t>ジュンク堂書店 三宮店∕ＮＦＣ</t>
        </is>
      </c>
      <c r="C263" s="2" t="inlineStr">
        <is>
          <t>レジャー・娯楽</t>
        </is>
      </c>
      <c r="D263" s="3" t="n">
        <v>6270</v>
      </c>
      <c r="E263" s="2" t="inlineStr">
        <is>
          <t>7月</t>
        </is>
      </c>
      <c r="F263" s="2" t="inlineStr">
        <is>
          <t>◎</t>
        </is>
      </c>
    </row>
    <row r="264">
      <c r="A264" s="2" t="inlineStr">
        <is>
          <t>2026-06-27</t>
        </is>
      </c>
      <c r="B264" s="2" t="inlineStr">
        <is>
          <t>ダイソー∕ＮＦＣ</t>
        </is>
      </c>
      <c r="C264" s="2" t="inlineStr">
        <is>
          <t>日用品・インテリア</t>
        </is>
      </c>
      <c r="D264" s="3" t="n">
        <v>2425</v>
      </c>
      <c r="E264" s="2" t="inlineStr">
        <is>
          <t>7月</t>
        </is>
      </c>
      <c r="F264" s="2" t="inlineStr">
        <is>
          <t>◎</t>
        </is>
      </c>
    </row>
    <row r="265">
      <c r="A265" s="2" t="inlineStr">
        <is>
          <t>2026-06-27</t>
        </is>
      </c>
      <c r="B265" s="2" t="inlineStr">
        <is>
          <t>ココカラファイン</t>
        </is>
      </c>
      <c r="C265" s="2" t="inlineStr">
        <is>
          <t>ドラッグストア</t>
        </is>
      </c>
      <c r="D265" s="3" t="n">
        <v>327</v>
      </c>
      <c r="E265" s="2" t="inlineStr">
        <is>
          <t>7月</t>
        </is>
      </c>
      <c r="F265" s="2" t="inlineStr">
        <is>
          <t>◎</t>
        </is>
      </c>
    </row>
    <row r="266">
      <c r="A266" s="2" t="inlineStr">
        <is>
          <t>2026-06-27</t>
        </is>
      </c>
      <c r="B266" s="2" t="inlineStr">
        <is>
          <t>スギ薬局 三宮店</t>
        </is>
      </c>
      <c r="C266" s="2" t="inlineStr">
        <is>
          <t>ドラッグストア</t>
        </is>
      </c>
      <c r="D266" s="3" t="n">
        <v>3952</v>
      </c>
      <c r="E266" s="2" t="inlineStr">
        <is>
          <t>7月</t>
        </is>
      </c>
      <c r="F266" s="2" t="inlineStr">
        <is>
          <t>◎</t>
        </is>
      </c>
    </row>
    <row r="267">
      <c r="A267" s="2" t="inlineStr">
        <is>
          <t>2026-06-27</t>
        </is>
      </c>
      <c r="B267" s="2" t="inlineStr">
        <is>
          <t>ヒシミツ醤油 磯上出張所＊ＵＳＥＮ</t>
        </is>
      </c>
      <c r="C267" s="2" t="inlineStr">
        <is>
          <t>外食・カフェ</t>
        </is>
      </c>
      <c r="D267" s="3" t="n">
        <v>2780</v>
      </c>
      <c r="E267" s="2" t="inlineStr">
        <is>
          <t>7月</t>
        </is>
      </c>
      <c r="F267" s="2" t="inlineStr">
        <is>
          <t>◎</t>
        </is>
      </c>
    </row>
    <row r="268">
      <c r="A268" s="2" t="inlineStr">
        <is>
          <t>2026-06-28</t>
        </is>
      </c>
      <c r="B268" s="2" t="inlineStr">
        <is>
          <t>Ａｍａｚｏｎプライム会費</t>
        </is>
      </c>
      <c r="C268" s="2" t="inlineStr">
        <is>
          <t>通信費・サブスク</t>
        </is>
      </c>
      <c r="D268" s="3" t="n">
        <v>600</v>
      </c>
      <c r="E268" s="2" t="inlineStr">
        <is>
          <t>7月</t>
        </is>
      </c>
      <c r="F268" s="2" t="inlineStr">
        <is>
          <t>◎</t>
        </is>
      </c>
    </row>
    <row r="269">
      <c r="A269" s="2" t="inlineStr">
        <is>
          <t>2026-06-28</t>
        </is>
      </c>
      <c r="B269" s="2" t="inlineStr">
        <is>
          <t>CAQPTAIN CANDY (ROME )</t>
        </is>
      </c>
      <c r="C269" s="2" t="inlineStr">
        <is>
          <t>外食・カフェ</t>
        </is>
      </c>
      <c r="D269" s="3" t="n">
        <v>1662</v>
      </c>
      <c r="E269" s="2" t="inlineStr">
        <is>
          <t>7月</t>
        </is>
      </c>
      <c r="F269" s="2" t="inlineStr">
        <is>
          <t>8.68 EUR 191.509 06 29 ◎</t>
        </is>
      </c>
    </row>
    <row r="270">
      <c r="A270" s="2" t="inlineStr">
        <is>
          <t>2026-06-28</t>
        </is>
      </c>
      <c r="B270" s="2" t="inlineStr">
        <is>
          <t>KERAK SRL (ROMA )</t>
        </is>
      </c>
      <c r="C270" s="2" t="inlineStr">
        <is>
          <t>その他</t>
        </is>
      </c>
      <c r="D270" s="3" t="n">
        <v>861</v>
      </c>
      <c r="E270" s="2" t="inlineStr">
        <is>
          <t>7月</t>
        </is>
      </c>
      <c r="F270" s="2" t="inlineStr">
        <is>
          <t>4.50 EUR 191.509 06 29 ◎</t>
        </is>
      </c>
    </row>
    <row r="271">
      <c r="A271" s="2" t="inlineStr">
        <is>
          <t>2026-06-28</t>
        </is>
      </c>
      <c r="B271" s="2" t="inlineStr">
        <is>
          <t>FIUMICINO AEROPORTO SS D (FIUMICINO )</t>
        </is>
      </c>
      <c r="C271" s="2" t="inlineStr">
        <is>
          <t>交通費</t>
        </is>
      </c>
      <c r="D271" s="3" t="n">
        <v>5362</v>
      </c>
      <c r="E271" s="2" t="inlineStr">
        <is>
          <t>7月</t>
        </is>
      </c>
      <c r="F271" s="2" t="inlineStr">
        <is>
          <t>28.00 EUR 191.509 06 29 ◎</t>
        </is>
      </c>
    </row>
    <row r="272">
      <c r="A272" s="2" t="inlineStr">
        <is>
          <t>2026-06-29</t>
        </is>
      </c>
      <c r="B272" s="2" t="inlineStr">
        <is>
          <t>FREENOW* DSFGYT-2 (FREE-NOW.COM/)</t>
        </is>
      </c>
      <c r="C272" s="2" t="inlineStr">
        <is>
          <t>交通費</t>
        </is>
      </c>
      <c r="D272" s="3" t="n">
        <v>2317</v>
      </c>
      <c r="E272" s="2" t="inlineStr">
        <is>
          <t>7月</t>
        </is>
      </c>
      <c r="F272" s="2" t="inlineStr">
        <is>
          <t>12.10 EUR 191.509 06 29 ◎</t>
        </is>
      </c>
    </row>
    <row r="273">
      <c r="A273" s="2" t="inlineStr">
        <is>
          <t>2026-06-29</t>
        </is>
      </c>
      <c r="B273" s="2" t="inlineStr">
        <is>
          <t>STAIANOAUT* PTK STAIAN (ANACAPRI )</t>
        </is>
      </c>
      <c r="C273" s="2" t="inlineStr">
        <is>
          <t>交通費</t>
        </is>
      </c>
      <c r="D273" s="3" t="n">
        <v>919</v>
      </c>
      <c r="E273" s="2" t="inlineStr">
        <is>
          <t>7月</t>
        </is>
      </c>
      <c r="F273" s="2" t="inlineStr">
        <is>
          <t>4.80 EUR 191.521 06 30 ◎</t>
        </is>
      </c>
    </row>
    <row r="274">
      <c r="A274" s="2" t="inlineStr">
        <is>
          <t>2026-06-29</t>
        </is>
      </c>
      <c r="B274" s="2" t="inlineStr">
        <is>
          <t>COOPERATIVA BATTELLIERI (CAPRI )</t>
        </is>
      </c>
      <c r="C274" s="2" t="inlineStr">
        <is>
          <t>レジャー・娯楽</t>
        </is>
      </c>
      <c r="D274" s="3" t="n">
        <v>4596</v>
      </c>
      <c r="E274" s="2" t="inlineStr">
        <is>
          <t>7月</t>
        </is>
      </c>
      <c r="F274" s="2" t="inlineStr">
        <is>
          <t>24.00 EUR 191.521 06 30 ◎</t>
        </is>
      </c>
    </row>
    <row r="275">
      <c r="A275" s="2" t="inlineStr">
        <is>
          <t>2026-06-29</t>
        </is>
      </c>
      <c r="B275" s="2" t="inlineStr">
        <is>
          <t>NINO &amp; FRIENDS ANACAPRI (ANACAPRI )</t>
        </is>
      </c>
      <c r="C275" s="2" t="inlineStr">
        <is>
          <t>外食・カフェ</t>
        </is>
      </c>
      <c r="D275" s="3" t="n">
        <v>2298</v>
      </c>
      <c r="E275" s="2" t="inlineStr">
        <is>
          <t>7月</t>
        </is>
      </c>
      <c r="F275" s="2" t="inlineStr">
        <is>
          <t>12.00 EUR 191.521 06 30 ◎</t>
        </is>
      </c>
    </row>
    <row r="276">
      <c r="A276" s="2" t="inlineStr">
        <is>
          <t>2026-06-29</t>
        </is>
      </c>
      <c r="B276" s="2" t="inlineStr">
        <is>
          <t>RISTORANTE DUE PINI (ANACAPRI )</t>
        </is>
      </c>
      <c r="C276" s="2" t="inlineStr">
        <is>
          <t>外食・カフェ</t>
        </is>
      </c>
      <c r="D276" s="3" t="n">
        <v>13789</v>
      </c>
      <c r="E276" s="2" t="inlineStr">
        <is>
          <t>7月</t>
        </is>
      </c>
      <c r="F276" s="2" t="inlineStr">
        <is>
          <t>72.00 EUR 191.521 06 30 ◎</t>
        </is>
      </c>
    </row>
    <row r="277">
      <c r="A277" s="2" t="inlineStr">
        <is>
          <t>2026-06-29</t>
        </is>
      </c>
      <c r="B277" s="2" t="inlineStr">
        <is>
          <t>5400604 (NAPOLI )</t>
        </is>
      </c>
      <c r="C277" s="2" t="inlineStr">
        <is>
          <t>レジャー・娯楽</t>
        </is>
      </c>
      <c r="D277" s="3" t="n">
        <v>574</v>
      </c>
      <c r="E277" s="2" t="inlineStr">
        <is>
          <t>7月</t>
        </is>
      </c>
      <c r="F277" s="2" t="inlineStr">
        <is>
          <t>3.00 EUR 191.521 06 30 ◎</t>
        </is>
      </c>
    </row>
    <row r="278">
      <c r="A278" s="2" t="inlineStr">
        <is>
          <t>2026-06-29</t>
        </is>
      </c>
      <c r="B278" s="2" t="inlineStr">
        <is>
          <t>SOC. COOP. CULTURE (ANACAPRI )</t>
        </is>
      </c>
      <c r="C278" s="2" t="inlineStr">
        <is>
          <t>レジャー・娯楽</t>
        </is>
      </c>
      <c r="D278" s="3" t="n">
        <v>2298</v>
      </c>
      <c r="E278" s="2" t="inlineStr">
        <is>
          <t>7月</t>
        </is>
      </c>
      <c r="F278" s="2" t="inlineStr">
        <is>
          <t>12.00 EUR 191.521 06 30 ◎</t>
        </is>
      </c>
    </row>
    <row r="279">
      <c r="A279" s="2" t="inlineStr">
        <is>
          <t>2026-06-29</t>
        </is>
      </c>
      <c r="B279" s="2" t="inlineStr">
        <is>
          <t>GRAN BAR RIVIERA (NAPOLI )</t>
        </is>
      </c>
      <c r="C279" s="2" t="inlineStr">
        <is>
          <t>外食・カフェ</t>
        </is>
      </c>
      <c r="D279" s="3" t="n">
        <v>957</v>
      </c>
      <c r="E279" s="2" t="inlineStr">
        <is>
          <t>7月</t>
        </is>
      </c>
      <c r="F279" s="2" t="inlineStr">
        <is>
          <t>5.00 EUR 191.521 06 30 ◎</t>
        </is>
      </c>
    </row>
    <row r="280">
      <c r="A280" s="2" t="inlineStr">
        <is>
          <t>2026-06-29</t>
        </is>
      </c>
      <c r="B280" s="2" t="inlineStr">
        <is>
          <t>CONSORZIO (ANACAPRI )</t>
        </is>
      </c>
      <c r="C280" s="2" t="inlineStr">
        <is>
          <t>レジャー・娯楽</t>
        </is>
      </c>
      <c r="D280" s="3" t="n">
        <v>3830</v>
      </c>
      <c r="E280" s="2" t="inlineStr">
        <is>
          <t>7月</t>
        </is>
      </c>
      <c r="F280" s="2" t="inlineStr">
        <is>
          <t>20.00 EUR 191.521 06 30 ◎</t>
        </is>
      </c>
    </row>
    <row r="281">
      <c r="A281" s="2" t="inlineStr">
        <is>
          <t>2026-06-29</t>
        </is>
      </c>
      <c r="B281" s="2" t="inlineStr">
        <is>
          <t>SNAV (NAPOLI )</t>
        </is>
      </c>
      <c r="C281" s="2" t="inlineStr">
        <is>
          <t>交通費</t>
        </is>
      </c>
      <c r="D281" s="3" t="n">
        <v>19152</v>
      </c>
      <c r="E281" s="2" t="inlineStr">
        <is>
          <t>7月</t>
        </is>
      </c>
      <c r="F281" s="2" t="inlineStr">
        <is>
          <t>100.00 EUR 191.521 06 30 ◎</t>
        </is>
      </c>
    </row>
    <row r="282">
      <c r="A282" s="2" t="inlineStr">
        <is>
          <t>2026-06-29</t>
        </is>
      </c>
      <c r="B282" s="2" t="inlineStr">
        <is>
          <t>BETREE (ANACAPRI )</t>
        </is>
      </c>
      <c r="C282" s="2" t="inlineStr">
        <is>
          <t>外食・カフェ</t>
        </is>
      </c>
      <c r="D282" s="3" t="n">
        <v>2489</v>
      </c>
      <c r="E282" s="2" t="inlineStr">
        <is>
          <t>7月</t>
        </is>
      </c>
      <c r="F282" s="2" t="inlineStr">
        <is>
          <t>13.00 EUR 191.521 06 30 ◎</t>
        </is>
      </c>
    </row>
    <row r="283">
      <c r="A283" s="2" t="inlineStr">
        <is>
          <t>2026-06-29</t>
        </is>
      </c>
      <c r="B283" s="2" t="inlineStr">
        <is>
          <t>DA ROMEO (ROMA )</t>
        </is>
      </c>
      <c r="C283" s="2" t="inlineStr">
        <is>
          <t>外食・カフェ</t>
        </is>
      </c>
      <c r="D283" s="3" t="n">
        <v>11491</v>
      </c>
      <c r="E283" s="2" t="inlineStr">
        <is>
          <t>7月</t>
        </is>
      </c>
      <c r="F283" s="2" t="inlineStr">
        <is>
          <t>60.00 EUR 191.521 06 30 ◎</t>
        </is>
      </c>
    </row>
    <row r="284">
      <c r="A284" s="2" t="inlineStr">
        <is>
          <t>2026-06-29</t>
        </is>
      </c>
      <c r="B284" s="2" t="inlineStr">
        <is>
          <t>CONAD (ROMA )</t>
        </is>
      </c>
      <c r="C284" s="2" t="inlineStr">
        <is>
          <t>スーパー・食料品</t>
        </is>
      </c>
      <c r="D284" s="3" t="n">
        <v>5739</v>
      </c>
      <c r="E284" s="2" t="inlineStr">
        <is>
          <t>7月</t>
        </is>
      </c>
      <c r="F284" s="2" t="inlineStr">
        <is>
          <t>29.97 EUR 191.521 06 30 ◎</t>
        </is>
      </c>
    </row>
    <row r="285">
      <c r="A285" s="2" t="inlineStr">
        <is>
          <t>2026-06-29</t>
        </is>
      </c>
      <c r="B285" s="2" t="inlineStr">
        <is>
          <t>PZA DELLA VITTORIA 28 (ANACAPRI )</t>
        </is>
      </c>
      <c r="C285" s="2" t="inlineStr">
        <is>
          <t>手数料・利息</t>
        </is>
      </c>
      <c r="D285" s="3" t="n">
        <v>10615</v>
      </c>
      <c r="E285" s="2" t="inlineStr">
        <is>
          <t>7月</t>
        </is>
      </c>
      <c r="F285" s="2" t="inlineStr">
        <is>
          <t>10615.00 JPY 1.0000 06 29</t>
        </is>
      </c>
    </row>
    <row r="286">
      <c r="A286" s="2" t="inlineStr">
        <is>
          <t>2026-06-29</t>
        </is>
      </c>
      <c r="B286" s="2" t="inlineStr">
        <is>
          <t>海外キャッシュサービス利息</t>
        </is>
      </c>
      <c r="C286" s="2" t="inlineStr">
        <is>
          <t>手数料・利息</t>
        </is>
      </c>
      <c r="D286" s="3" t="n">
        <v>146</v>
      </c>
      <c r="E286" s="2" t="inlineStr">
        <is>
          <t>7月</t>
        </is>
      </c>
      <c r="F286" s="2" t="inlineStr">
        <is>
          <t>(海外キャッシュサービス ご返済期間28日間)</t>
        </is>
      </c>
    </row>
    <row r="287">
      <c r="A287" s="2" t="inlineStr">
        <is>
          <t>2026-06-29</t>
        </is>
      </c>
      <c r="B287" s="2" t="inlineStr">
        <is>
          <t>ＡＴＭ利⽤⼿数料 海外キャッシング</t>
        </is>
      </c>
      <c r="C287" s="2" t="inlineStr">
        <is>
          <t>手数料・利息</t>
        </is>
      </c>
      <c r="D287" s="3" t="n">
        <v>220</v>
      </c>
      <c r="E287" s="2" t="inlineStr">
        <is>
          <t>7月</t>
        </is>
      </c>
      <c r="F287" s="2" t="inlineStr"/>
    </row>
    <row r="288">
      <c r="A288" s="2" t="inlineStr">
        <is>
          <t>2026-06-30</t>
        </is>
      </c>
      <c r="B288" s="2" t="inlineStr">
        <is>
          <t>フェリカポケットマーケティング（株）</t>
        </is>
      </c>
      <c r="C288" s="2" t="inlineStr">
        <is>
          <t>通信費・サブスク</t>
        </is>
      </c>
      <c r="D288" s="3" t="n">
        <v>20000</v>
      </c>
      <c r="E288" s="2" t="inlineStr">
        <is>
          <t>7月</t>
        </is>
      </c>
      <c r="F288" s="2" t="inlineStr">
        <is>
          <t>◎</t>
        </is>
      </c>
    </row>
    <row r="289">
      <c r="A289" s="2" t="inlineStr">
        <is>
          <t>2026-06-30</t>
        </is>
      </c>
      <c r="B289" s="2" t="inlineStr">
        <is>
          <t>フェリカポケットマーケティング（株）</t>
        </is>
      </c>
      <c r="C289" s="2" t="inlineStr">
        <is>
          <t>通信費・サブスク</t>
        </is>
      </c>
      <c r="D289" s="3" t="n">
        <v>20000</v>
      </c>
      <c r="E289" s="2" t="inlineStr">
        <is>
          <t>7月</t>
        </is>
      </c>
      <c r="F289" s="2" t="inlineStr">
        <is>
          <t>◎</t>
        </is>
      </c>
    </row>
    <row r="290">
      <c r="A290" s="2" t="inlineStr">
        <is>
          <t>2026-06-30</t>
        </is>
      </c>
      <c r="B290" s="2" t="inlineStr">
        <is>
          <t>POMPI IL REGNO (ROMA )</t>
        </is>
      </c>
      <c r="C290" s="2" t="inlineStr">
        <is>
          <t>外食・カフェ</t>
        </is>
      </c>
      <c r="D290" s="3" t="n">
        <v>1150</v>
      </c>
      <c r="E290" s="2" t="inlineStr">
        <is>
          <t>7月</t>
        </is>
      </c>
      <c r="F290" s="2" t="inlineStr">
        <is>
          <t>6.00 EUR 191.822 07 01 ◎</t>
        </is>
      </c>
    </row>
    <row r="291">
      <c r="A291" s="2" t="inlineStr">
        <is>
          <t>2026-06-30</t>
        </is>
      </c>
      <c r="B291" s="2" t="inlineStr">
        <is>
          <t>FREENOW* DSO7TU-2 (FREE-NOW.COM/)</t>
        </is>
      </c>
      <c r="C291" s="2" t="inlineStr">
        <is>
          <t>交通費</t>
        </is>
      </c>
      <c r="D291" s="3" t="n">
        <v>2205</v>
      </c>
      <c r="E291" s="2" t="inlineStr">
        <is>
          <t>7月</t>
        </is>
      </c>
      <c r="F291" s="2" t="inlineStr">
        <is>
          <t>11.50 EUR 191.822 07 01 ◎</t>
        </is>
      </c>
    </row>
    <row r="292">
      <c r="A292" s="2" t="inlineStr">
        <is>
          <t>2026-06-30</t>
        </is>
      </c>
      <c r="B292" s="2" t="inlineStr">
        <is>
          <t>TRECAFFE RISTORANTE CA (ROMA )</t>
        </is>
      </c>
      <c r="C292" s="2" t="inlineStr">
        <is>
          <t>外食・カフェ</t>
        </is>
      </c>
      <c r="D292" s="3" t="n">
        <v>383</v>
      </c>
      <c r="E292" s="2" t="inlineStr">
        <is>
          <t>7月</t>
        </is>
      </c>
      <c r="F292" s="2" t="inlineStr">
        <is>
          <t>2.00 EUR 191.822 07 01 ◎</t>
        </is>
      </c>
    </row>
    <row r="293">
      <c r="A293" s="2" t="inlineStr">
        <is>
          <t>2026-06-30</t>
        </is>
      </c>
      <c r="B293" s="2" t="inlineStr">
        <is>
          <t>CARREFOUR EXPRESS (ROMA )</t>
        </is>
      </c>
      <c r="C293" s="2" t="inlineStr">
        <is>
          <t>スーパー・食料品</t>
        </is>
      </c>
      <c r="D293" s="3" t="n">
        <v>1290</v>
      </c>
      <c r="E293" s="2" t="inlineStr">
        <is>
          <t>7月</t>
        </is>
      </c>
      <c r="F293" s="2" t="inlineStr">
        <is>
          <t>6.73 EUR 191.822 07 01 ◎</t>
        </is>
      </c>
    </row>
    <row r="294">
      <c r="A294" s="2" t="inlineStr">
        <is>
          <t>2026-06-30</t>
        </is>
      </c>
      <c r="B294" s="2" t="inlineStr">
        <is>
          <t>FLOR (ROMA )</t>
        </is>
      </c>
      <c r="C294" s="2" t="inlineStr">
        <is>
          <t>外食・カフェ</t>
        </is>
      </c>
      <c r="D294" s="3" t="n">
        <v>767</v>
      </c>
      <c r="E294" s="2" t="inlineStr">
        <is>
          <t>7月</t>
        </is>
      </c>
      <c r="F294" s="2" t="inlineStr">
        <is>
          <t>4.00 EUR 191.822 07 01 ◎</t>
        </is>
      </c>
    </row>
    <row r="295">
      <c r="A295" s="2" t="inlineStr">
        <is>
          <t>2026-06-30</t>
        </is>
      </c>
      <c r="B295" s="2" t="inlineStr">
        <is>
          <t>LARINASCENTE TRITONE 4 (ROMA )</t>
        </is>
      </c>
      <c r="C295" s="2" t="inlineStr">
        <is>
          <t>外食・カフェ</t>
        </is>
      </c>
      <c r="D295" s="3" t="n">
        <v>7001</v>
      </c>
      <c r="E295" s="2" t="inlineStr">
        <is>
          <t>7月</t>
        </is>
      </c>
      <c r="F295" s="2" t="inlineStr">
        <is>
          <t>36.50 EUR 191.822 07 01 ◎</t>
        </is>
      </c>
    </row>
    <row r="296">
      <c r="A296" s="2" t="inlineStr">
        <is>
          <t>2026-06-30</t>
        </is>
      </c>
      <c r="B296" s="2" t="inlineStr">
        <is>
          <t>RISTORANTE TEMA (ROMA )</t>
        </is>
      </c>
      <c r="C296" s="2" t="inlineStr">
        <is>
          <t>外食・カフェ</t>
        </is>
      </c>
      <c r="D296" s="3" t="n">
        <v>9591</v>
      </c>
      <c r="E296" s="2" t="inlineStr">
        <is>
          <t>7月</t>
        </is>
      </c>
      <c r="F296" s="2" t="inlineStr">
        <is>
          <t>50.00 EUR 191.822 07 01 ◎</t>
        </is>
      </c>
    </row>
    <row r="297">
      <c r="A297" s="2" t="inlineStr">
        <is>
          <t>2026-06-30</t>
        </is>
      </c>
      <c r="B297" s="2" t="inlineStr">
        <is>
          <t>CAFFE' VALORANI (ROMA )</t>
        </is>
      </c>
      <c r="C297" s="2" t="inlineStr">
        <is>
          <t>外食・カフェ</t>
        </is>
      </c>
      <c r="D297" s="3" t="n">
        <v>479</v>
      </c>
      <c r="E297" s="2" t="inlineStr">
        <is>
          <t>7月</t>
        </is>
      </c>
      <c r="F297" s="2" t="inlineStr">
        <is>
          <t>2.50 EUR 191.822 07 01 ◎</t>
        </is>
      </c>
    </row>
    <row r="298">
      <c r="A298" s="2" t="inlineStr">
        <is>
          <t>2026-06-30</t>
        </is>
      </c>
      <c r="B298" s="2" t="inlineStr">
        <is>
          <t>LA CASA DEL CAFFE' TAZZA (ROMA )</t>
        </is>
      </c>
      <c r="C298" s="2" t="inlineStr">
        <is>
          <t>外食・カフェ</t>
        </is>
      </c>
      <c r="D298" s="3" t="n">
        <v>4891</v>
      </c>
      <c r="E298" s="2" t="inlineStr">
        <is>
          <t>7月</t>
        </is>
      </c>
      <c r="F298" s="2" t="inlineStr">
        <is>
          <t>25.50 EUR 191.822 07 01 ◎</t>
        </is>
      </c>
    </row>
    <row r="299">
      <c r="A299" s="2" t="inlineStr">
        <is>
          <t>2026-06-30</t>
        </is>
      </c>
      <c r="B299" s="2" t="inlineStr">
        <is>
          <t>CASTRONI (ROMA )</t>
        </is>
      </c>
      <c r="C299" s="2" t="inlineStr">
        <is>
          <t>スーパー・食料品</t>
        </is>
      </c>
      <c r="D299" s="3" t="n">
        <v>479</v>
      </c>
      <c r="E299" s="2" t="inlineStr">
        <is>
          <t>7月</t>
        </is>
      </c>
      <c r="F299" s="2" t="inlineStr">
        <is>
          <t>2.50 EUR 191.822 07 01 ◎</t>
        </is>
      </c>
    </row>
    <row r="300">
      <c r="A300" s="2" t="inlineStr">
        <is>
          <t>2026-06-30</t>
        </is>
      </c>
      <c r="B300" s="2" t="inlineStr">
        <is>
          <t>RAVIOLO D'ORO (ROMA )</t>
        </is>
      </c>
      <c r="C300" s="2" t="inlineStr">
        <is>
          <t>外食・カフェ</t>
        </is>
      </c>
      <c r="D300" s="3" t="n">
        <v>8919</v>
      </c>
      <c r="E300" s="2" t="inlineStr">
        <is>
          <t>7月</t>
        </is>
      </c>
      <c r="F300" s="2" t="inlineStr">
        <is>
          <t>46.50 EUR 191.822 07 01 ◎</t>
        </is>
      </c>
    </row>
    <row r="301">
      <c r="A301" s="2" t="inlineStr">
        <is>
          <t>2026-06-30</t>
        </is>
      </c>
      <c r="B301" s="2" t="inlineStr">
        <is>
          <t>ATAC TAP&amp;GO (ROMA )</t>
        </is>
      </c>
      <c r="C301" s="2" t="inlineStr">
        <is>
          <t>交通費</t>
        </is>
      </c>
      <c r="D301" s="3" t="n">
        <v>866</v>
      </c>
      <c r="E301" s="2" t="inlineStr">
        <is>
          <t>7月</t>
        </is>
      </c>
      <c r="F301" s="2" t="inlineStr">
        <is>
          <t>4.50 EUR 192.474 07 03 ◎</t>
        </is>
      </c>
    </row>
    <row r="302">
      <c r="C302" s="4" t="inlineStr">
        <is>
          <t>合計</t>
        </is>
      </c>
      <c r="D302" s="5">
        <f>SUM(D2:D301)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6" t="inlineStr">
        <is>
          <t>三井住友カード ご利用明細 月別×カテゴリ集計（お支払月ベース）</t>
        </is>
      </c>
    </row>
    <row r="3">
      <c r="A3" s="7" t="inlineStr">
        <is>
          <t>カテゴリ</t>
        </is>
      </c>
      <c r="B3" s="1" t="inlineStr">
        <is>
          <t>1月(支払)</t>
        </is>
      </c>
      <c r="C3" s="1" t="inlineStr">
        <is>
          <t>2月(支払)</t>
        </is>
      </c>
      <c r="D3" s="1" t="inlineStr">
        <is>
          <t>3月(支払)</t>
        </is>
      </c>
      <c r="E3" s="1" t="inlineStr">
        <is>
          <t>4月(支払)</t>
        </is>
      </c>
      <c r="F3" s="1" t="inlineStr">
        <is>
          <t>5月(支払)</t>
        </is>
      </c>
      <c r="G3" s="1" t="inlineStr">
        <is>
          <t>6月(支払)</t>
        </is>
      </c>
      <c r="H3" s="1" t="inlineStr">
        <is>
          <t>7月(支払)</t>
        </is>
      </c>
      <c r="I3" s="7" t="inlineStr">
        <is>
          <t>合計</t>
        </is>
      </c>
    </row>
    <row r="4">
      <c r="A4" s="2" t="inlineStr">
        <is>
          <t>水道光熱費</t>
        </is>
      </c>
      <c r="B4" s="3">
        <f>SUMIFS(明細!$D$2:$D$301,明細!$C$2:$C$301,$A4,明細!$E$2:$E$301,B$3)</f>
        <v/>
      </c>
      <c r="C4" s="3">
        <f>SUMIFS(明細!$D$2:$D$301,明細!$C$2:$C$301,$A4,明細!$E$2:$E$301,C$3)</f>
        <v/>
      </c>
      <c r="D4" s="3">
        <f>SUMIFS(明細!$D$2:$D$301,明細!$C$2:$C$301,$A4,明細!$E$2:$E$301,D$3)</f>
        <v/>
      </c>
      <c r="E4" s="3">
        <f>SUMIFS(明細!$D$2:$D$301,明細!$C$2:$C$301,$A4,明細!$E$2:$E$301,E$3)</f>
        <v/>
      </c>
      <c r="F4" s="3">
        <f>SUMIFS(明細!$D$2:$D$301,明細!$C$2:$C$301,$A4,明細!$E$2:$E$301,F$3)</f>
        <v/>
      </c>
      <c r="G4" s="3">
        <f>SUMIFS(明細!$D$2:$D$301,明細!$C$2:$C$301,$A4,明細!$E$2:$E$301,G$3)</f>
        <v/>
      </c>
      <c r="H4" s="3">
        <f>SUMIFS(明細!$D$2:$D$301,明細!$C$2:$C$301,$A4,明細!$E$2:$E$301,H$3)</f>
        <v/>
      </c>
      <c r="I4" s="8">
        <f>SUM(B4:H4)</f>
        <v/>
      </c>
    </row>
    <row r="5">
      <c r="A5" s="2" t="inlineStr">
        <is>
          <t>保険</t>
        </is>
      </c>
      <c r="B5" s="3">
        <f>SUMIFS(明細!$D$2:$D$301,明細!$C$2:$C$301,$A5,明細!$E$2:$E$301,B$3)</f>
        <v/>
      </c>
      <c r="C5" s="3">
        <f>SUMIFS(明細!$D$2:$D$301,明細!$C$2:$C$301,$A5,明細!$E$2:$E$301,C$3)</f>
        <v/>
      </c>
      <c r="D5" s="3">
        <f>SUMIFS(明細!$D$2:$D$301,明細!$C$2:$C$301,$A5,明細!$E$2:$E$301,D$3)</f>
        <v/>
      </c>
      <c r="E5" s="3">
        <f>SUMIFS(明細!$D$2:$D$301,明細!$C$2:$C$301,$A5,明細!$E$2:$E$301,E$3)</f>
        <v/>
      </c>
      <c r="F5" s="3">
        <f>SUMIFS(明細!$D$2:$D$301,明細!$C$2:$C$301,$A5,明細!$E$2:$E$301,F$3)</f>
        <v/>
      </c>
      <c r="G5" s="3">
        <f>SUMIFS(明細!$D$2:$D$301,明細!$C$2:$C$301,$A5,明細!$E$2:$E$301,G$3)</f>
        <v/>
      </c>
      <c r="H5" s="3">
        <f>SUMIFS(明細!$D$2:$D$301,明細!$C$2:$C$301,$A5,明細!$E$2:$E$301,H$3)</f>
        <v/>
      </c>
      <c r="I5" s="8">
        <f>SUM(B5:H5)</f>
        <v/>
      </c>
    </row>
    <row r="6">
      <c r="A6" s="2" t="inlineStr">
        <is>
          <t>通信費・サブスク</t>
        </is>
      </c>
      <c r="B6" s="3">
        <f>SUMIFS(明細!$D$2:$D$301,明細!$C$2:$C$301,$A6,明細!$E$2:$E$301,B$3)</f>
        <v/>
      </c>
      <c r="C6" s="3">
        <f>SUMIFS(明細!$D$2:$D$301,明細!$C$2:$C$301,$A6,明細!$E$2:$E$301,C$3)</f>
        <v/>
      </c>
      <c r="D6" s="3">
        <f>SUMIFS(明細!$D$2:$D$301,明細!$C$2:$C$301,$A6,明細!$E$2:$E$301,D$3)</f>
        <v/>
      </c>
      <c r="E6" s="3">
        <f>SUMIFS(明細!$D$2:$D$301,明細!$C$2:$C$301,$A6,明細!$E$2:$E$301,E$3)</f>
        <v/>
      </c>
      <c r="F6" s="3">
        <f>SUMIFS(明細!$D$2:$D$301,明細!$C$2:$C$301,$A6,明細!$E$2:$E$301,F$3)</f>
        <v/>
      </c>
      <c r="G6" s="3">
        <f>SUMIFS(明細!$D$2:$D$301,明細!$C$2:$C$301,$A6,明細!$E$2:$E$301,G$3)</f>
        <v/>
      </c>
      <c r="H6" s="3">
        <f>SUMIFS(明細!$D$2:$D$301,明細!$C$2:$C$301,$A6,明細!$E$2:$E$301,H$3)</f>
        <v/>
      </c>
      <c r="I6" s="8">
        <f>SUM(B6:H6)</f>
        <v/>
      </c>
    </row>
    <row r="7">
      <c r="A7" s="2" t="inlineStr">
        <is>
          <t>コンビニ</t>
        </is>
      </c>
      <c r="B7" s="3">
        <f>SUMIFS(明細!$D$2:$D$301,明細!$C$2:$C$301,$A7,明細!$E$2:$E$301,B$3)</f>
        <v/>
      </c>
      <c r="C7" s="3">
        <f>SUMIFS(明細!$D$2:$D$301,明細!$C$2:$C$301,$A7,明細!$E$2:$E$301,C$3)</f>
        <v/>
      </c>
      <c r="D7" s="3">
        <f>SUMIFS(明細!$D$2:$D$301,明細!$C$2:$C$301,$A7,明細!$E$2:$E$301,D$3)</f>
        <v/>
      </c>
      <c r="E7" s="3">
        <f>SUMIFS(明細!$D$2:$D$301,明細!$C$2:$C$301,$A7,明細!$E$2:$E$301,E$3)</f>
        <v/>
      </c>
      <c r="F7" s="3">
        <f>SUMIFS(明細!$D$2:$D$301,明細!$C$2:$C$301,$A7,明細!$E$2:$E$301,F$3)</f>
        <v/>
      </c>
      <c r="G7" s="3">
        <f>SUMIFS(明細!$D$2:$D$301,明細!$C$2:$C$301,$A7,明細!$E$2:$E$301,G$3)</f>
        <v/>
      </c>
      <c r="H7" s="3">
        <f>SUMIFS(明細!$D$2:$D$301,明細!$C$2:$C$301,$A7,明細!$E$2:$E$301,H$3)</f>
        <v/>
      </c>
      <c r="I7" s="8">
        <f>SUM(B7:H7)</f>
        <v/>
      </c>
    </row>
    <row r="8">
      <c r="A8" s="2" t="inlineStr">
        <is>
          <t>スーパー・食料品</t>
        </is>
      </c>
      <c r="B8" s="3">
        <f>SUMIFS(明細!$D$2:$D$301,明細!$C$2:$C$301,$A8,明細!$E$2:$E$301,B$3)</f>
        <v/>
      </c>
      <c r="C8" s="3">
        <f>SUMIFS(明細!$D$2:$D$301,明細!$C$2:$C$301,$A8,明細!$E$2:$E$301,C$3)</f>
        <v/>
      </c>
      <c r="D8" s="3">
        <f>SUMIFS(明細!$D$2:$D$301,明細!$C$2:$C$301,$A8,明細!$E$2:$E$301,D$3)</f>
        <v/>
      </c>
      <c r="E8" s="3">
        <f>SUMIFS(明細!$D$2:$D$301,明細!$C$2:$C$301,$A8,明細!$E$2:$E$301,E$3)</f>
        <v/>
      </c>
      <c r="F8" s="3">
        <f>SUMIFS(明細!$D$2:$D$301,明細!$C$2:$C$301,$A8,明細!$E$2:$E$301,F$3)</f>
        <v/>
      </c>
      <c r="G8" s="3">
        <f>SUMIFS(明細!$D$2:$D$301,明細!$C$2:$C$301,$A8,明細!$E$2:$E$301,G$3)</f>
        <v/>
      </c>
      <c r="H8" s="3">
        <f>SUMIFS(明細!$D$2:$D$301,明細!$C$2:$C$301,$A8,明細!$E$2:$E$301,H$3)</f>
        <v/>
      </c>
      <c r="I8" s="8">
        <f>SUM(B8:H8)</f>
        <v/>
      </c>
    </row>
    <row r="9">
      <c r="A9" s="2" t="inlineStr">
        <is>
          <t>ドラッグストア</t>
        </is>
      </c>
      <c r="B9" s="3">
        <f>SUMIFS(明細!$D$2:$D$301,明細!$C$2:$C$301,$A9,明細!$E$2:$E$301,B$3)</f>
        <v/>
      </c>
      <c r="C9" s="3">
        <f>SUMIFS(明細!$D$2:$D$301,明細!$C$2:$C$301,$A9,明細!$E$2:$E$301,C$3)</f>
        <v/>
      </c>
      <c r="D9" s="3">
        <f>SUMIFS(明細!$D$2:$D$301,明細!$C$2:$C$301,$A9,明細!$E$2:$E$301,D$3)</f>
        <v/>
      </c>
      <c r="E9" s="3">
        <f>SUMIFS(明細!$D$2:$D$301,明細!$C$2:$C$301,$A9,明細!$E$2:$E$301,E$3)</f>
        <v/>
      </c>
      <c r="F9" s="3">
        <f>SUMIFS(明細!$D$2:$D$301,明細!$C$2:$C$301,$A9,明細!$E$2:$E$301,F$3)</f>
        <v/>
      </c>
      <c r="G9" s="3">
        <f>SUMIFS(明細!$D$2:$D$301,明細!$C$2:$C$301,$A9,明細!$E$2:$E$301,G$3)</f>
        <v/>
      </c>
      <c r="H9" s="3">
        <f>SUMIFS(明細!$D$2:$D$301,明細!$C$2:$C$301,$A9,明細!$E$2:$E$301,H$3)</f>
        <v/>
      </c>
      <c r="I9" s="8">
        <f>SUM(B9:H9)</f>
        <v/>
      </c>
    </row>
    <row r="10">
      <c r="A10" s="2" t="inlineStr">
        <is>
          <t>外食・カフェ</t>
        </is>
      </c>
      <c r="B10" s="3">
        <f>SUMIFS(明細!$D$2:$D$301,明細!$C$2:$C$301,$A10,明細!$E$2:$E$301,B$3)</f>
        <v/>
      </c>
      <c r="C10" s="3">
        <f>SUMIFS(明細!$D$2:$D$301,明細!$C$2:$C$301,$A10,明細!$E$2:$E$301,C$3)</f>
        <v/>
      </c>
      <c r="D10" s="3">
        <f>SUMIFS(明細!$D$2:$D$301,明細!$C$2:$C$301,$A10,明細!$E$2:$E$301,D$3)</f>
        <v/>
      </c>
      <c r="E10" s="3">
        <f>SUMIFS(明細!$D$2:$D$301,明細!$C$2:$C$301,$A10,明細!$E$2:$E$301,E$3)</f>
        <v/>
      </c>
      <c r="F10" s="3">
        <f>SUMIFS(明細!$D$2:$D$301,明細!$C$2:$C$301,$A10,明細!$E$2:$E$301,F$3)</f>
        <v/>
      </c>
      <c r="G10" s="3">
        <f>SUMIFS(明細!$D$2:$D$301,明細!$C$2:$C$301,$A10,明細!$E$2:$E$301,G$3)</f>
        <v/>
      </c>
      <c r="H10" s="3">
        <f>SUMIFS(明細!$D$2:$D$301,明細!$C$2:$C$301,$A10,明細!$E$2:$E$301,H$3)</f>
        <v/>
      </c>
      <c r="I10" s="8">
        <f>SUM(B10:H10)</f>
        <v/>
      </c>
    </row>
    <row r="11">
      <c r="A11" s="2" t="inlineStr">
        <is>
          <t>ショッピングモール・百貨店</t>
        </is>
      </c>
      <c r="B11" s="3">
        <f>SUMIFS(明細!$D$2:$D$301,明細!$C$2:$C$301,$A11,明細!$E$2:$E$301,B$3)</f>
        <v/>
      </c>
      <c r="C11" s="3">
        <f>SUMIFS(明細!$D$2:$D$301,明細!$C$2:$C$301,$A11,明細!$E$2:$E$301,C$3)</f>
        <v/>
      </c>
      <c r="D11" s="3">
        <f>SUMIFS(明細!$D$2:$D$301,明細!$C$2:$C$301,$A11,明細!$E$2:$E$301,D$3)</f>
        <v/>
      </c>
      <c r="E11" s="3">
        <f>SUMIFS(明細!$D$2:$D$301,明細!$C$2:$C$301,$A11,明細!$E$2:$E$301,E$3)</f>
        <v/>
      </c>
      <c r="F11" s="3">
        <f>SUMIFS(明細!$D$2:$D$301,明細!$C$2:$C$301,$A11,明細!$E$2:$E$301,F$3)</f>
        <v/>
      </c>
      <c r="G11" s="3">
        <f>SUMIFS(明細!$D$2:$D$301,明細!$C$2:$C$301,$A11,明細!$E$2:$E$301,G$3)</f>
        <v/>
      </c>
      <c r="H11" s="3">
        <f>SUMIFS(明細!$D$2:$D$301,明細!$C$2:$C$301,$A11,明細!$E$2:$E$301,H$3)</f>
        <v/>
      </c>
      <c r="I11" s="8">
        <f>SUM(B11:H11)</f>
        <v/>
      </c>
    </row>
    <row r="12">
      <c r="A12" s="2" t="inlineStr">
        <is>
          <t>日用品・インテリア</t>
        </is>
      </c>
      <c r="B12" s="3">
        <f>SUMIFS(明細!$D$2:$D$301,明細!$C$2:$C$301,$A12,明細!$E$2:$E$301,B$3)</f>
        <v/>
      </c>
      <c r="C12" s="3">
        <f>SUMIFS(明細!$D$2:$D$301,明細!$C$2:$C$301,$A12,明細!$E$2:$E$301,C$3)</f>
        <v/>
      </c>
      <c r="D12" s="3">
        <f>SUMIFS(明細!$D$2:$D$301,明細!$C$2:$C$301,$A12,明細!$E$2:$E$301,D$3)</f>
        <v/>
      </c>
      <c r="E12" s="3">
        <f>SUMIFS(明細!$D$2:$D$301,明細!$C$2:$C$301,$A12,明細!$E$2:$E$301,E$3)</f>
        <v/>
      </c>
      <c r="F12" s="3">
        <f>SUMIFS(明細!$D$2:$D$301,明細!$C$2:$C$301,$A12,明細!$E$2:$E$301,F$3)</f>
        <v/>
      </c>
      <c r="G12" s="3">
        <f>SUMIFS(明細!$D$2:$D$301,明細!$C$2:$C$301,$A12,明細!$E$2:$E$301,G$3)</f>
        <v/>
      </c>
      <c r="H12" s="3">
        <f>SUMIFS(明細!$D$2:$D$301,明細!$C$2:$C$301,$A12,明細!$E$2:$E$301,H$3)</f>
        <v/>
      </c>
      <c r="I12" s="8">
        <f>SUM(B12:H12)</f>
        <v/>
      </c>
    </row>
    <row r="13">
      <c r="A13" s="2" t="inlineStr">
        <is>
          <t>ファッション・美容</t>
        </is>
      </c>
      <c r="B13" s="3">
        <f>SUMIFS(明細!$D$2:$D$301,明細!$C$2:$C$301,$A13,明細!$E$2:$E$301,B$3)</f>
        <v/>
      </c>
      <c r="C13" s="3">
        <f>SUMIFS(明細!$D$2:$D$301,明細!$C$2:$C$301,$A13,明細!$E$2:$E$301,C$3)</f>
        <v/>
      </c>
      <c r="D13" s="3">
        <f>SUMIFS(明細!$D$2:$D$301,明細!$C$2:$C$301,$A13,明細!$E$2:$E$301,D$3)</f>
        <v/>
      </c>
      <c r="E13" s="3">
        <f>SUMIFS(明細!$D$2:$D$301,明細!$C$2:$C$301,$A13,明細!$E$2:$E$301,E$3)</f>
        <v/>
      </c>
      <c r="F13" s="3">
        <f>SUMIFS(明細!$D$2:$D$301,明細!$C$2:$C$301,$A13,明細!$E$2:$E$301,F$3)</f>
        <v/>
      </c>
      <c r="G13" s="3">
        <f>SUMIFS(明細!$D$2:$D$301,明細!$C$2:$C$301,$A13,明細!$E$2:$E$301,G$3)</f>
        <v/>
      </c>
      <c r="H13" s="3">
        <f>SUMIFS(明細!$D$2:$D$301,明細!$C$2:$C$301,$A13,明細!$E$2:$E$301,H$3)</f>
        <v/>
      </c>
      <c r="I13" s="8">
        <f>SUM(B13:H13)</f>
        <v/>
      </c>
    </row>
    <row r="14">
      <c r="A14" s="2" t="inlineStr">
        <is>
          <t>ネットショッピング</t>
        </is>
      </c>
      <c r="B14" s="3">
        <f>SUMIFS(明細!$D$2:$D$301,明細!$C$2:$C$301,$A14,明細!$E$2:$E$301,B$3)</f>
        <v/>
      </c>
      <c r="C14" s="3">
        <f>SUMIFS(明細!$D$2:$D$301,明細!$C$2:$C$301,$A14,明細!$E$2:$E$301,C$3)</f>
        <v/>
      </c>
      <c r="D14" s="3">
        <f>SUMIFS(明細!$D$2:$D$301,明細!$C$2:$C$301,$A14,明細!$E$2:$E$301,D$3)</f>
        <v/>
      </c>
      <c r="E14" s="3">
        <f>SUMIFS(明細!$D$2:$D$301,明細!$C$2:$C$301,$A14,明細!$E$2:$E$301,E$3)</f>
        <v/>
      </c>
      <c r="F14" s="3">
        <f>SUMIFS(明細!$D$2:$D$301,明細!$C$2:$C$301,$A14,明細!$E$2:$E$301,F$3)</f>
        <v/>
      </c>
      <c r="G14" s="3">
        <f>SUMIFS(明細!$D$2:$D$301,明細!$C$2:$C$301,$A14,明細!$E$2:$E$301,G$3)</f>
        <v/>
      </c>
      <c r="H14" s="3">
        <f>SUMIFS(明細!$D$2:$D$301,明細!$C$2:$C$301,$A14,明細!$E$2:$E$301,H$3)</f>
        <v/>
      </c>
      <c r="I14" s="8">
        <f>SUM(B14:H14)</f>
        <v/>
      </c>
    </row>
    <row r="15">
      <c r="A15" s="2" t="inlineStr">
        <is>
          <t>交通費</t>
        </is>
      </c>
      <c r="B15" s="3">
        <f>SUMIFS(明細!$D$2:$D$301,明細!$C$2:$C$301,$A15,明細!$E$2:$E$301,B$3)</f>
        <v/>
      </c>
      <c r="C15" s="3">
        <f>SUMIFS(明細!$D$2:$D$301,明細!$C$2:$C$301,$A15,明細!$E$2:$E$301,C$3)</f>
        <v/>
      </c>
      <c r="D15" s="3">
        <f>SUMIFS(明細!$D$2:$D$301,明細!$C$2:$C$301,$A15,明細!$E$2:$E$301,D$3)</f>
        <v/>
      </c>
      <c r="E15" s="3">
        <f>SUMIFS(明細!$D$2:$D$301,明細!$C$2:$C$301,$A15,明細!$E$2:$E$301,E$3)</f>
        <v/>
      </c>
      <c r="F15" s="3">
        <f>SUMIFS(明細!$D$2:$D$301,明細!$C$2:$C$301,$A15,明細!$E$2:$E$301,F$3)</f>
        <v/>
      </c>
      <c r="G15" s="3">
        <f>SUMIFS(明細!$D$2:$D$301,明細!$C$2:$C$301,$A15,明細!$E$2:$E$301,G$3)</f>
        <v/>
      </c>
      <c r="H15" s="3">
        <f>SUMIFS(明細!$D$2:$D$301,明細!$C$2:$C$301,$A15,明細!$E$2:$E$301,H$3)</f>
        <v/>
      </c>
      <c r="I15" s="8">
        <f>SUM(B15:H15)</f>
        <v/>
      </c>
    </row>
    <row r="16">
      <c r="A16" s="2" t="inlineStr">
        <is>
          <t>旅行・宿泊（予約サイト）</t>
        </is>
      </c>
      <c r="B16" s="3">
        <f>SUMIFS(明細!$D$2:$D$301,明細!$C$2:$C$301,$A16,明細!$E$2:$E$301,B$3)</f>
        <v/>
      </c>
      <c r="C16" s="3">
        <f>SUMIFS(明細!$D$2:$D$301,明細!$C$2:$C$301,$A16,明細!$E$2:$E$301,C$3)</f>
        <v/>
      </c>
      <c r="D16" s="3">
        <f>SUMIFS(明細!$D$2:$D$301,明細!$C$2:$C$301,$A16,明細!$E$2:$E$301,D$3)</f>
        <v/>
      </c>
      <c r="E16" s="3">
        <f>SUMIFS(明細!$D$2:$D$301,明細!$C$2:$C$301,$A16,明細!$E$2:$E$301,E$3)</f>
        <v/>
      </c>
      <c r="F16" s="3">
        <f>SUMIFS(明細!$D$2:$D$301,明細!$C$2:$C$301,$A16,明細!$E$2:$E$301,F$3)</f>
        <v/>
      </c>
      <c r="G16" s="3">
        <f>SUMIFS(明細!$D$2:$D$301,明細!$C$2:$C$301,$A16,明細!$E$2:$E$301,G$3)</f>
        <v/>
      </c>
      <c r="H16" s="3">
        <f>SUMIFS(明細!$D$2:$D$301,明細!$C$2:$C$301,$A16,明細!$E$2:$E$301,H$3)</f>
        <v/>
      </c>
      <c r="I16" s="8">
        <f>SUM(B16:H16)</f>
        <v/>
      </c>
    </row>
    <row r="17">
      <c r="A17" s="2" t="inlineStr">
        <is>
          <t>レジャー・娯楽</t>
        </is>
      </c>
      <c r="B17" s="3">
        <f>SUMIFS(明細!$D$2:$D$301,明細!$C$2:$C$301,$A17,明細!$E$2:$E$301,B$3)</f>
        <v/>
      </c>
      <c r="C17" s="3">
        <f>SUMIFS(明細!$D$2:$D$301,明細!$C$2:$C$301,$A17,明細!$E$2:$E$301,C$3)</f>
        <v/>
      </c>
      <c r="D17" s="3">
        <f>SUMIFS(明細!$D$2:$D$301,明細!$C$2:$C$301,$A17,明細!$E$2:$E$301,D$3)</f>
        <v/>
      </c>
      <c r="E17" s="3">
        <f>SUMIFS(明細!$D$2:$D$301,明細!$C$2:$C$301,$A17,明細!$E$2:$E$301,E$3)</f>
        <v/>
      </c>
      <c r="F17" s="3">
        <f>SUMIFS(明細!$D$2:$D$301,明細!$C$2:$C$301,$A17,明細!$E$2:$E$301,F$3)</f>
        <v/>
      </c>
      <c r="G17" s="3">
        <f>SUMIFS(明細!$D$2:$D$301,明細!$C$2:$C$301,$A17,明細!$E$2:$E$301,G$3)</f>
        <v/>
      </c>
      <c r="H17" s="3">
        <f>SUMIFS(明細!$D$2:$D$301,明細!$C$2:$C$301,$A17,明細!$E$2:$E$301,H$3)</f>
        <v/>
      </c>
      <c r="I17" s="8">
        <f>SUM(B17:H17)</f>
        <v/>
      </c>
    </row>
    <row r="18">
      <c r="A18" s="2" t="inlineStr">
        <is>
          <t>ふるさと納税</t>
        </is>
      </c>
      <c r="B18" s="3">
        <f>SUMIFS(明細!$D$2:$D$301,明細!$C$2:$C$301,$A18,明細!$E$2:$E$301,B$3)</f>
        <v/>
      </c>
      <c r="C18" s="3">
        <f>SUMIFS(明細!$D$2:$D$301,明細!$C$2:$C$301,$A18,明細!$E$2:$E$301,C$3)</f>
        <v/>
      </c>
      <c r="D18" s="3">
        <f>SUMIFS(明細!$D$2:$D$301,明細!$C$2:$C$301,$A18,明細!$E$2:$E$301,D$3)</f>
        <v/>
      </c>
      <c r="E18" s="3">
        <f>SUMIFS(明細!$D$2:$D$301,明細!$C$2:$C$301,$A18,明細!$E$2:$E$301,E$3)</f>
        <v/>
      </c>
      <c r="F18" s="3">
        <f>SUMIFS(明細!$D$2:$D$301,明細!$C$2:$C$301,$A18,明細!$E$2:$E$301,F$3)</f>
        <v/>
      </c>
      <c r="G18" s="3">
        <f>SUMIFS(明細!$D$2:$D$301,明細!$C$2:$C$301,$A18,明細!$E$2:$E$301,G$3)</f>
        <v/>
      </c>
      <c r="H18" s="3">
        <f>SUMIFS(明細!$D$2:$D$301,明細!$C$2:$C$301,$A18,明細!$E$2:$E$301,H$3)</f>
        <v/>
      </c>
      <c r="I18" s="8">
        <f>SUM(B18:H18)</f>
        <v/>
      </c>
    </row>
    <row r="19">
      <c r="A19" s="2" t="inlineStr">
        <is>
          <t>手数料・利息</t>
        </is>
      </c>
      <c r="B19" s="3">
        <f>SUMIFS(明細!$D$2:$D$301,明細!$C$2:$C$301,$A19,明細!$E$2:$E$301,B$3)</f>
        <v/>
      </c>
      <c r="C19" s="3">
        <f>SUMIFS(明細!$D$2:$D$301,明細!$C$2:$C$301,$A19,明細!$E$2:$E$301,C$3)</f>
        <v/>
      </c>
      <c r="D19" s="3">
        <f>SUMIFS(明細!$D$2:$D$301,明細!$C$2:$C$301,$A19,明細!$E$2:$E$301,D$3)</f>
        <v/>
      </c>
      <c r="E19" s="3">
        <f>SUMIFS(明細!$D$2:$D$301,明細!$C$2:$C$301,$A19,明細!$E$2:$E$301,E$3)</f>
        <v/>
      </c>
      <c r="F19" s="3">
        <f>SUMIFS(明細!$D$2:$D$301,明細!$C$2:$C$301,$A19,明細!$E$2:$E$301,F$3)</f>
        <v/>
      </c>
      <c r="G19" s="3">
        <f>SUMIFS(明細!$D$2:$D$301,明細!$C$2:$C$301,$A19,明細!$E$2:$E$301,G$3)</f>
        <v/>
      </c>
      <c r="H19" s="3">
        <f>SUMIFS(明細!$D$2:$D$301,明細!$C$2:$C$301,$A19,明細!$E$2:$E$301,H$3)</f>
        <v/>
      </c>
      <c r="I19" s="8">
        <f>SUM(B19:H19)</f>
        <v/>
      </c>
    </row>
    <row r="20">
      <c r="A20" s="2" t="inlineStr">
        <is>
          <t>その他</t>
        </is>
      </c>
      <c r="B20" s="3">
        <f>SUMIFS(明細!$D$2:$D$301,明細!$C$2:$C$301,$A20,明細!$E$2:$E$301,B$3)</f>
        <v/>
      </c>
      <c r="C20" s="3">
        <f>SUMIFS(明細!$D$2:$D$301,明細!$C$2:$C$301,$A20,明細!$E$2:$E$301,C$3)</f>
        <v/>
      </c>
      <c r="D20" s="3">
        <f>SUMIFS(明細!$D$2:$D$301,明細!$C$2:$C$301,$A20,明細!$E$2:$E$301,D$3)</f>
        <v/>
      </c>
      <c r="E20" s="3">
        <f>SUMIFS(明細!$D$2:$D$301,明細!$C$2:$C$301,$A20,明細!$E$2:$E$301,E$3)</f>
        <v/>
      </c>
      <c r="F20" s="3">
        <f>SUMIFS(明細!$D$2:$D$301,明細!$C$2:$C$301,$A20,明細!$E$2:$E$301,F$3)</f>
        <v/>
      </c>
      <c r="G20" s="3">
        <f>SUMIFS(明細!$D$2:$D$301,明細!$C$2:$C$301,$A20,明細!$E$2:$E$301,G$3)</f>
        <v/>
      </c>
      <c r="H20" s="3">
        <f>SUMIFS(明細!$D$2:$D$301,明細!$C$2:$C$301,$A20,明細!$E$2:$E$301,H$3)</f>
        <v/>
      </c>
      <c r="I20" s="8">
        <f>SUM(B20:H20)</f>
        <v/>
      </c>
    </row>
    <row r="21">
      <c r="A21" s="9" t="inlineStr">
        <is>
          <t>合計</t>
        </is>
      </c>
      <c r="B21" s="8">
        <f>SUM(B4:B20)</f>
        <v/>
      </c>
      <c r="C21" s="8">
        <f>SUM(C4:C20)</f>
        <v/>
      </c>
      <c r="D21" s="8">
        <f>SUM(D4:D20)</f>
        <v/>
      </c>
      <c r="E21" s="8">
        <f>SUM(E4:E20)</f>
        <v/>
      </c>
      <c r="F21" s="8">
        <f>SUM(F4:F20)</f>
        <v/>
      </c>
      <c r="G21" s="8">
        <f>SUM(G4:G20)</f>
        <v/>
      </c>
      <c r="H21" s="8">
        <f>SUM(H4:H20)</f>
        <v/>
      </c>
      <c r="I21" s="8">
        <f>SUM(I4:I20)</f>
        <v/>
      </c>
    </row>
    <row r="23">
      <c r="A23" s="4" t="inlineStr">
        <is>
          <t>参考：各明細書のお支払い合計額</t>
        </is>
      </c>
    </row>
    <row r="24">
      <c r="A24" s="7" t="inlineStr">
        <is>
          <t>お支払月</t>
        </is>
      </c>
      <c r="B24" s="7" t="inlineStr">
        <is>
          <t>お支払日</t>
        </is>
      </c>
      <c r="C24" s="7" t="inlineStr">
        <is>
          <t>お支払い合計額(明細書記載)</t>
        </is>
      </c>
    </row>
    <row r="25">
      <c r="A25" s="2" t="inlineStr">
        <is>
          <t>1月(支払)</t>
        </is>
      </c>
      <c r="B25" s="2" t="inlineStr">
        <is>
          <t>2026-01-26</t>
        </is>
      </c>
      <c r="C25" s="3" t="n">
        <v>284227</v>
      </c>
    </row>
    <row r="26">
      <c r="A26" s="2" t="inlineStr">
        <is>
          <t>2月(支払)</t>
        </is>
      </c>
      <c r="B26" s="2" t="inlineStr">
        <is>
          <t>2026-02-26</t>
        </is>
      </c>
      <c r="C26" s="3" t="n">
        <v>110839</v>
      </c>
    </row>
    <row r="27">
      <c r="A27" s="2" t="inlineStr">
        <is>
          <t>3月(支払)</t>
        </is>
      </c>
      <c r="B27" s="2" t="inlineStr">
        <is>
          <t>2026-03-26</t>
        </is>
      </c>
      <c r="C27" s="3" t="n">
        <v>70479</v>
      </c>
    </row>
    <row r="28">
      <c r="A28" s="2" t="inlineStr">
        <is>
          <t>4月(支払)</t>
        </is>
      </c>
      <c r="B28" s="2" t="inlineStr">
        <is>
          <t>2026-04-27</t>
        </is>
      </c>
      <c r="C28" s="3" t="n">
        <v>623156</v>
      </c>
    </row>
    <row r="29">
      <c r="A29" s="2" t="inlineStr">
        <is>
          <t>5月(支払)</t>
        </is>
      </c>
      <c r="B29" s="2" t="inlineStr">
        <is>
          <t>2026-05-26</t>
        </is>
      </c>
      <c r="C29" s="3" t="n">
        <v>159905</v>
      </c>
    </row>
    <row r="30">
      <c r="A30" s="2" t="inlineStr">
        <is>
          <t>6月(支払)</t>
        </is>
      </c>
      <c r="B30" s="2" t="inlineStr">
        <is>
          <t>2026-06-26</t>
        </is>
      </c>
      <c r="C30" s="3" t="n">
        <v>128813</v>
      </c>
    </row>
    <row r="31">
      <c r="A31" s="2" t="inlineStr">
        <is>
          <t>7月(支払)</t>
        </is>
      </c>
      <c r="B31" s="2" t="inlineStr">
        <is>
          <t>2026-07-27</t>
        </is>
      </c>
      <c r="C31" s="3" t="n">
        <v>472489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30" customWidth="1" min="4" max="4"/>
  </cols>
  <sheetData>
    <row r="1">
      <c r="A1" s="6" t="inlineStr">
        <is>
          <t>カテゴリ別集計（2026年1月〜7月支払 全体）</t>
        </is>
      </c>
    </row>
    <row r="3">
      <c r="A3" s="7" t="inlineStr">
        <is>
          <t>カテゴリ</t>
        </is>
      </c>
      <c r="B3" s="7" t="inlineStr">
        <is>
          <t>金額</t>
        </is>
      </c>
      <c r="C3" s="7" t="inlineStr">
        <is>
          <t>構成比</t>
        </is>
      </c>
      <c r="D3" s="7" t="inlineStr"/>
    </row>
    <row r="4">
      <c r="A4" s="2" t="inlineStr">
        <is>
          <t>水道光熱費</t>
        </is>
      </c>
      <c r="B4" s="3">
        <f>SUMIF(明細!$C$2:$C$301,$A4,明細!$D$2:$D$301)</f>
        <v/>
      </c>
      <c r="C4" s="10">
        <f>B4/$B$21</f>
        <v/>
      </c>
    </row>
    <row r="5">
      <c r="A5" s="2" t="inlineStr">
        <is>
          <t>保険</t>
        </is>
      </c>
      <c r="B5" s="3">
        <f>SUMIF(明細!$C$2:$C$301,$A5,明細!$D$2:$D$301)</f>
        <v/>
      </c>
      <c r="C5" s="10">
        <f>B5/$B$21</f>
        <v/>
      </c>
    </row>
    <row r="6">
      <c r="A6" s="2" t="inlineStr">
        <is>
          <t>通信費・サブスク</t>
        </is>
      </c>
      <c r="B6" s="3">
        <f>SUMIF(明細!$C$2:$C$301,$A6,明細!$D$2:$D$301)</f>
        <v/>
      </c>
      <c r="C6" s="10">
        <f>B6/$B$21</f>
        <v/>
      </c>
    </row>
    <row r="7">
      <c r="A7" s="2" t="inlineStr">
        <is>
          <t>コンビニ</t>
        </is>
      </c>
      <c r="B7" s="3">
        <f>SUMIF(明細!$C$2:$C$301,$A7,明細!$D$2:$D$301)</f>
        <v/>
      </c>
      <c r="C7" s="10">
        <f>B7/$B$21</f>
        <v/>
      </c>
    </row>
    <row r="8">
      <c r="A8" s="2" t="inlineStr">
        <is>
          <t>スーパー・食料品</t>
        </is>
      </c>
      <c r="B8" s="3">
        <f>SUMIF(明細!$C$2:$C$301,$A8,明細!$D$2:$D$301)</f>
        <v/>
      </c>
      <c r="C8" s="10">
        <f>B8/$B$21</f>
        <v/>
      </c>
    </row>
    <row r="9">
      <c r="A9" s="2" t="inlineStr">
        <is>
          <t>ドラッグストア</t>
        </is>
      </c>
      <c r="B9" s="3">
        <f>SUMIF(明細!$C$2:$C$301,$A9,明細!$D$2:$D$301)</f>
        <v/>
      </c>
      <c r="C9" s="10">
        <f>B9/$B$21</f>
        <v/>
      </c>
    </row>
    <row r="10">
      <c r="A10" s="2" t="inlineStr">
        <is>
          <t>外食・カフェ</t>
        </is>
      </c>
      <c r="B10" s="3">
        <f>SUMIF(明細!$C$2:$C$301,$A10,明細!$D$2:$D$301)</f>
        <v/>
      </c>
      <c r="C10" s="10">
        <f>B10/$B$21</f>
        <v/>
      </c>
    </row>
    <row r="11">
      <c r="A11" s="2" t="inlineStr">
        <is>
          <t>ショッピングモール・百貨店</t>
        </is>
      </c>
      <c r="B11" s="3">
        <f>SUMIF(明細!$C$2:$C$301,$A11,明細!$D$2:$D$301)</f>
        <v/>
      </c>
      <c r="C11" s="10">
        <f>B11/$B$21</f>
        <v/>
      </c>
    </row>
    <row r="12">
      <c r="A12" s="2" t="inlineStr">
        <is>
          <t>日用品・インテリア</t>
        </is>
      </c>
      <c r="B12" s="3">
        <f>SUMIF(明細!$C$2:$C$301,$A12,明細!$D$2:$D$301)</f>
        <v/>
      </c>
      <c r="C12" s="10">
        <f>B12/$B$21</f>
        <v/>
      </c>
    </row>
    <row r="13">
      <c r="A13" s="2" t="inlineStr">
        <is>
          <t>ファッション・美容</t>
        </is>
      </c>
      <c r="B13" s="3">
        <f>SUMIF(明細!$C$2:$C$301,$A13,明細!$D$2:$D$301)</f>
        <v/>
      </c>
      <c r="C13" s="10">
        <f>B13/$B$21</f>
        <v/>
      </c>
    </row>
    <row r="14">
      <c r="A14" s="2" t="inlineStr">
        <is>
          <t>ネットショッピング</t>
        </is>
      </c>
      <c r="B14" s="3">
        <f>SUMIF(明細!$C$2:$C$301,$A14,明細!$D$2:$D$301)</f>
        <v/>
      </c>
      <c r="C14" s="10">
        <f>B14/$B$21</f>
        <v/>
      </c>
    </row>
    <row r="15">
      <c r="A15" s="2" t="inlineStr">
        <is>
          <t>交通費</t>
        </is>
      </c>
      <c r="B15" s="3">
        <f>SUMIF(明細!$C$2:$C$301,$A15,明細!$D$2:$D$301)</f>
        <v/>
      </c>
      <c r="C15" s="10">
        <f>B15/$B$21</f>
        <v/>
      </c>
    </row>
    <row r="16">
      <c r="A16" s="2" t="inlineStr">
        <is>
          <t>旅行・宿泊（予約サイト）</t>
        </is>
      </c>
      <c r="B16" s="3">
        <f>SUMIF(明細!$C$2:$C$301,$A16,明細!$D$2:$D$301)</f>
        <v/>
      </c>
      <c r="C16" s="10">
        <f>B16/$B$21</f>
        <v/>
      </c>
    </row>
    <row r="17">
      <c r="A17" s="2" t="inlineStr">
        <is>
          <t>レジャー・娯楽</t>
        </is>
      </c>
      <c r="B17" s="3">
        <f>SUMIF(明細!$C$2:$C$301,$A17,明細!$D$2:$D$301)</f>
        <v/>
      </c>
      <c r="C17" s="10">
        <f>B17/$B$21</f>
        <v/>
      </c>
    </row>
    <row r="18">
      <c r="A18" s="2" t="inlineStr">
        <is>
          <t>ふるさと納税</t>
        </is>
      </c>
      <c r="B18" s="3">
        <f>SUMIF(明細!$C$2:$C$301,$A18,明細!$D$2:$D$301)</f>
        <v/>
      </c>
      <c r="C18" s="10">
        <f>B18/$B$21</f>
        <v/>
      </c>
    </row>
    <row r="19">
      <c r="A19" s="2" t="inlineStr">
        <is>
          <t>手数料・利息</t>
        </is>
      </c>
      <c r="B19" s="3">
        <f>SUMIF(明細!$C$2:$C$301,$A19,明細!$D$2:$D$301)</f>
        <v/>
      </c>
      <c r="C19" s="10">
        <f>B19/$B$21</f>
        <v/>
      </c>
    </row>
    <row r="20">
      <c r="A20" s="2" t="inlineStr">
        <is>
          <t>その他</t>
        </is>
      </c>
      <c r="B20" s="3">
        <f>SUMIF(明細!$C$2:$C$301,$A20,明細!$D$2:$D$301)</f>
        <v/>
      </c>
      <c r="C20" s="10">
        <f>B20/$B$21</f>
        <v/>
      </c>
    </row>
    <row r="21">
      <c r="A21" s="9" t="inlineStr">
        <is>
          <t>合計</t>
        </is>
      </c>
      <c r="B21" s="8">
        <f>SUM(B4:B20)</f>
        <v/>
      </c>
      <c r="C21" s="11">
        <f>B21/B21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2026-07-23T15:07:44Z</dcterms:created>
  <dcterms:modified xsi:type="dcterms:W3CDTF">2026-07-23T15:07:44Z</dcterms:modified>
</cp:coreProperties>
</file>