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細" sheetId="1" state="visible" r:id="rId1"/>
    <sheet name="利用者別サマリー" sheetId="2" state="visible" r:id="rId2"/>
    <sheet name="カテゴリ別集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808080"/>
      <sz val="9"/>
    </font>
    <font>
      <name val="Arial"/>
      <b val="1"/>
      <sz val="12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6" fillId="0" borderId="0" pivotButton="0" quotePrefix="0" xfId="0"/>
    <xf numFmtId="3" fontId="6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18" customWidth="1" min="4" max="4"/>
    <col width="10" customWidth="1" min="5" max="5"/>
    <col width="12" customWidth="1" min="6" max="6"/>
    <col width="40" customWidth="1" min="7" max="7"/>
  </cols>
  <sheetData>
    <row r="1">
      <c r="A1" s="1" t="inlineStr">
        <is>
          <t>利用日</t>
        </is>
      </c>
      <c r="B1" s="1" t="inlineStr">
        <is>
          <t>利用者</t>
        </is>
      </c>
      <c r="C1" s="1" t="inlineStr">
        <is>
          <t>ご利用先</t>
        </is>
      </c>
      <c r="D1" s="1" t="inlineStr">
        <is>
          <t>カテゴリ</t>
        </is>
      </c>
      <c r="E1" s="1" t="inlineStr">
        <is>
          <t>支払方法</t>
        </is>
      </c>
      <c r="F1" s="1" t="inlineStr">
        <is>
          <t>金額</t>
        </is>
      </c>
      <c r="G1" s="1" t="inlineStr">
        <is>
          <t>備考</t>
        </is>
      </c>
    </row>
    <row r="2">
      <c r="A2" s="2" t="inlineStr">
        <is>
          <t>2026-06-10</t>
        </is>
      </c>
      <c r="B2" s="2" t="inlineStr">
        <is>
          <t>家族1（奥様）</t>
        </is>
      </c>
      <c r="C2" s="2" t="inlineStr">
        <is>
          <t>シーセイ</t>
        </is>
      </c>
      <c r="D2" s="2" t="inlineStr">
        <is>
          <t>その他</t>
        </is>
      </c>
      <c r="E2" s="2" t="inlineStr">
        <is>
          <t>1回</t>
        </is>
      </c>
      <c r="F2" s="3" t="n">
        <v>3228</v>
      </c>
      <c r="G2" s="2" t="inlineStr">
        <is>
          <t>ポイント2倍対象／店舗名から用途不明・要確認</t>
        </is>
      </c>
    </row>
    <row r="3">
      <c r="A3" s="2" t="inlineStr">
        <is>
          <t>2026-06-12</t>
        </is>
      </c>
      <c r="B3" s="2" t="inlineStr">
        <is>
          <t>家族1（奥様）</t>
        </is>
      </c>
      <c r="C3" s="2" t="inlineStr">
        <is>
          <t>阪急オアシス</t>
        </is>
      </c>
      <c r="D3" s="2" t="inlineStr">
        <is>
          <t>スーパー・食料品</t>
        </is>
      </c>
      <c r="E3" s="2" t="inlineStr">
        <is>
          <t>1回</t>
        </is>
      </c>
      <c r="F3" s="3" t="n">
        <v>726</v>
      </c>
      <c r="G3" s="2" t="inlineStr"/>
    </row>
    <row r="4">
      <c r="A4" s="2" t="inlineStr">
        <is>
          <t>2026-06-12</t>
        </is>
      </c>
      <c r="B4" s="2" t="inlineStr">
        <is>
          <t>家族1（奥様）</t>
        </is>
      </c>
      <c r="C4" s="2" t="inlineStr">
        <is>
          <t>阪急オアシス</t>
        </is>
      </c>
      <c r="D4" s="2" t="inlineStr">
        <is>
          <t>スーパー・食料品</t>
        </is>
      </c>
      <c r="E4" s="2" t="inlineStr">
        <is>
          <t>1回</t>
        </is>
      </c>
      <c r="F4" s="3" t="n">
        <v>2208</v>
      </c>
      <c r="G4" s="2" t="inlineStr"/>
    </row>
    <row r="5">
      <c r="A5" s="2" t="inlineStr">
        <is>
          <t>2026-06-13</t>
        </is>
      </c>
      <c r="B5" s="2" t="inlineStr">
        <is>
          <t>本人</t>
        </is>
      </c>
      <c r="C5" s="2" t="inlineStr">
        <is>
          <t>イオンumie</t>
        </is>
      </c>
      <c r="D5" s="2" t="inlineStr">
        <is>
          <t>ショッピングモール・百貨店</t>
        </is>
      </c>
      <c r="E5" s="2" t="inlineStr">
        <is>
          <t>1回</t>
        </is>
      </c>
      <c r="F5" s="3" t="n">
        <v>5459</v>
      </c>
      <c r="G5" s="2" t="inlineStr">
        <is>
          <t>ポイント10倍対象</t>
        </is>
      </c>
    </row>
    <row r="6">
      <c r="A6" s="2" t="inlineStr">
        <is>
          <t>2026-06-13</t>
        </is>
      </c>
      <c r="B6" s="2" t="inlineStr">
        <is>
          <t>家族1（奥様）</t>
        </is>
      </c>
      <c r="C6" s="2" t="inlineStr">
        <is>
          <t>ホームセンターコーナンハーバ</t>
        </is>
      </c>
      <c r="D6" s="2" t="inlineStr">
        <is>
          <t>日用品・インテリア</t>
        </is>
      </c>
      <c r="E6" s="2" t="inlineStr">
        <is>
          <t>1回</t>
        </is>
      </c>
      <c r="F6" s="3" t="n">
        <v>4853</v>
      </c>
      <c r="G6" s="2" t="inlineStr"/>
    </row>
    <row r="7">
      <c r="A7" s="2" t="inlineStr">
        <is>
          <t>2026-06-13</t>
        </is>
      </c>
      <c r="B7" s="2" t="inlineStr">
        <is>
          <t>家族1（奥様）</t>
        </is>
      </c>
      <c r="C7" s="2" t="inlineStr">
        <is>
          <t>神戸ハーバーランドumie</t>
        </is>
      </c>
      <c r="D7" s="2" t="inlineStr">
        <is>
          <t>ショッピングモール・百貨店</t>
        </is>
      </c>
      <c r="E7" s="2" t="inlineStr">
        <is>
          <t>1回</t>
        </is>
      </c>
      <c r="F7" s="3" t="n">
        <v>648</v>
      </c>
      <c r="G7" s="2" t="inlineStr"/>
    </row>
    <row r="8">
      <c r="A8" s="2" t="inlineStr">
        <is>
          <t>2026-06-13</t>
        </is>
      </c>
      <c r="B8" s="2" t="inlineStr">
        <is>
          <t>家族1（奥様）</t>
        </is>
      </c>
      <c r="C8" s="2" t="inlineStr">
        <is>
          <t>ダイソー</t>
        </is>
      </c>
      <c r="D8" s="2" t="inlineStr">
        <is>
          <t>日用品・インテリア</t>
        </is>
      </c>
      <c r="E8" s="2" t="inlineStr">
        <is>
          <t>1回</t>
        </is>
      </c>
      <c r="F8" s="3" t="n">
        <v>220</v>
      </c>
      <c r="G8" s="2" t="inlineStr"/>
    </row>
    <row r="9">
      <c r="A9" s="2" t="inlineStr">
        <is>
          <t>2026-06-13</t>
        </is>
      </c>
      <c r="B9" s="2" t="inlineStr">
        <is>
          <t>家族1（奥様）</t>
        </is>
      </c>
      <c r="C9" s="2" t="inlineStr">
        <is>
          <t>ダイソー</t>
        </is>
      </c>
      <c r="D9" s="2" t="inlineStr">
        <is>
          <t>日用品・インテリア</t>
        </is>
      </c>
      <c r="E9" s="2" t="inlineStr">
        <is>
          <t>1回</t>
        </is>
      </c>
      <c r="F9" s="3" t="n">
        <v>550</v>
      </c>
      <c r="G9" s="2" t="inlineStr"/>
    </row>
    <row r="10">
      <c r="A10" s="2" t="inlineStr">
        <is>
          <t>2026-06-13</t>
        </is>
      </c>
      <c r="B10" s="2" t="inlineStr">
        <is>
          <t>家族1（奥様）</t>
        </is>
      </c>
      <c r="C10" s="2" t="inlineStr">
        <is>
          <t>ホームドライ フラワーロード</t>
        </is>
      </c>
      <c r="D10" s="2" t="inlineStr">
        <is>
          <t>日用品・インテリア</t>
        </is>
      </c>
      <c r="E10" s="2" t="inlineStr">
        <is>
          <t>1回</t>
        </is>
      </c>
      <c r="F10" s="3" t="n">
        <v>8320</v>
      </c>
      <c r="G10" s="2" t="inlineStr">
        <is>
          <t>クリーニング</t>
        </is>
      </c>
    </row>
    <row r="11">
      <c r="A11" s="2" t="inlineStr">
        <is>
          <t>2026-06-14</t>
        </is>
      </c>
      <c r="B11" s="2" t="inlineStr">
        <is>
          <t>家族1（奥様）</t>
        </is>
      </c>
      <c r="C11" s="2" t="inlineStr">
        <is>
          <t>コウベコーヒーモノガタリ</t>
        </is>
      </c>
      <c r="D11" s="2" t="inlineStr">
        <is>
          <t>外食・カフェ</t>
        </is>
      </c>
      <c r="E11" s="2" t="inlineStr">
        <is>
          <t>1回</t>
        </is>
      </c>
      <c r="F11" s="3" t="n">
        <v>2440</v>
      </c>
      <c r="G11" s="2" t="inlineStr"/>
    </row>
    <row r="12">
      <c r="A12" s="2" t="inlineStr">
        <is>
          <t>2026-06-14</t>
        </is>
      </c>
      <c r="B12" s="2" t="inlineStr">
        <is>
          <t>本人</t>
        </is>
      </c>
      <c r="C12" s="2" t="inlineStr">
        <is>
          <t>ボアフロッテ ティーピー</t>
        </is>
      </c>
      <c r="D12" s="2" t="inlineStr">
        <is>
          <t>その他</t>
        </is>
      </c>
      <c r="E12" s="2" t="inlineStr">
        <is>
          <t>1回</t>
        </is>
      </c>
      <c r="F12" s="3" t="n">
        <v>17820</v>
      </c>
      <c r="G12" s="2" t="inlineStr">
        <is>
          <t>店舗名から用途不明・要確認</t>
        </is>
      </c>
    </row>
    <row r="13">
      <c r="A13" s="2" t="inlineStr">
        <is>
          <t>2026-06-15</t>
        </is>
      </c>
      <c r="B13" s="2" t="inlineStr">
        <is>
          <t>本人</t>
        </is>
      </c>
      <c r="C13" s="2" t="inlineStr">
        <is>
          <t>KOHYO三宮</t>
        </is>
      </c>
      <c r="D13" s="2" t="inlineStr">
        <is>
          <t>スーパー・食料品</t>
        </is>
      </c>
      <c r="E13" s="2" t="inlineStr">
        <is>
          <t>1回</t>
        </is>
      </c>
      <c r="F13" s="3" t="n">
        <v>1307</v>
      </c>
      <c r="G13" s="2" t="inlineStr">
        <is>
          <t>ポイント2倍対象</t>
        </is>
      </c>
    </row>
    <row r="14">
      <c r="A14" s="2" t="inlineStr">
        <is>
          <t>2026-06-19</t>
        </is>
      </c>
      <c r="B14" s="2" t="inlineStr">
        <is>
          <t>本人</t>
        </is>
      </c>
      <c r="C14" s="2" t="inlineStr">
        <is>
          <t>KOHYO三宮</t>
        </is>
      </c>
      <c r="D14" s="2" t="inlineStr">
        <is>
          <t>スーパー・食料品</t>
        </is>
      </c>
      <c r="E14" s="2" t="inlineStr">
        <is>
          <t>1回</t>
        </is>
      </c>
      <c r="F14" s="3" t="n">
        <v>1953</v>
      </c>
      <c r="G14" s="2" t="inlineStr">
        <is>
          <t>ポイント2倍対象</t>
        </is>
      </c>
    </row>
    <row r="15">
      <c r="A15" s="2" t="inlineStr">
        <is>
          <t>2026-06-21</t>
        </is>
      </c>
      <c r="B15" s="2" t="inlineStr">
        <is>
          <t>家族1（奥様）</t>
        </is>
      </c>
      <c r="C15" s="2" t="inlineStr">
        <is>
          <t>ジーユー</t>
        </is>
      </c>
      <c r="D15" s="2" t="inlineStr">
        <is>
          <t>ファッション・美容</t>
        </is>
      </c>
      <c r="E15" s="2" t="inlineStr">
        <is>
          <t>1回</t>
        </is>
      </c>
      <c r="F15" s="3" t="n">
        <v>4790</v>
      </c>
      <c r="G15" s="2" t="inlineStr"/>
    </row>
    <row r="16">
      <c r="A16" s="2" t="inlineStr">
        <is>
          <t>2026-07-02</t>
        </is>
      </c>
      <c r="B16" s="2" t="inlineStr">
        <is>
          <t>家族1（奥様）</t>
        </is>
      </c>
      <c r="C16" s="2" t="inlineStr">
        <is>
          <t>アップルドットコム</t>
        </is>
      </c>
      <c r="D16" s="2" t="inlineStr">
        <is>
          <t>ネットショッピング</t>
        </is>
      </c>
      <c r="E16" s="2" t="inlineStr">
        <is>
          <t>1回</t>
        </is>
      </c>
      <c r="F16" s="3" t="n">
        <v>6490</v>
      </c>
      <c r="G16" s="2" t="inlineStr"/>
    </row>
    <row r="17">
      <c r="A17" s="2" t="inlineStr">
        <is>
          <t>2026-07-08</t>
        </is>
      </c>
      <c r="B17" s="2" t="inlineStr">
        <is>
          <t>本人</t>
        </is>
      </c>
      <c r="C17" s="2" t="inlineStr">
        <is>
          <t>ベルトラ コーポ</t>
        </is>
      </c>
      <c r="D17" s="2" t="inlineStr">
        <is>
          <t>旅行・宿泊</t>
        </is>
      </c>
      <c r="E17" s="2" t="inlineStr">
        <is>
          <t>1回</t>
        </is>
      </c>
      <c r="F17" s="3" t="n">
        <v>-9596</v>
      </c>
      <c r="G17" s="2" t="inlineStr">
        <is>
          <t>ご返品</t>
        </is>
      </c>
    </row>
    <row r="18">
      <c r="A18" s="2" t="inlineStr">
        <is>
          <t>2026-07-08</t>
        </is>
      </c>
      <c r="B18" s="2" t="inlineStr">
        <is>
          <t>本人</t>
        </is>
      </c>
      <c r="C18" s="2" t="inlineStr">
        <is>
          <t>ベルトラ コーポ</t>
        </is>
      </c>
      <c r="D18" s="2" t="inlineStr">
        <is>
          <t>旅行・宿泊</t>
        </is>
      </c>
      <c r="E18" s="2" t="inlineStr">
        <is>
          <t>1回</t>
        </is>
      </c>
      <c r="F18" s="3" t="n">
        <v>-9596</v>
      </c>
      <c r="G18" s="2" t="inlineStr">
        <is>
          <t>ご返品</t>
        </is>
      </c>
    </row>
    <row r="19">
      <c r="A19" s="2" t="inlineStr">
        <is>
          <t>2026-07-08</t>
        </is>
      </c>
      <c r="B19" s="2" t="inlineStr">
        <is>
          <t>本人</t>
        </is>
      </c>
      <c r="C19" s="2" t="inlineStr">
        <is>
          <t>ベルトラ コーポ</t>
        </is>
      </c>
      <c r="D19" s="2" t="inlineStr">
        <is>
          <t>旅行・宿泊</t>
        </is>
      </c>
      <c r="E19" s="2" t="inlineStr">
        <is>
          <t>1回</t>
        </is>
      </c>
      <c r="F19" s="3" t="n">
        <v>-36464</v>
      </c>
      <c r="G19" s="2" t="inlineStr">
        <is>
          <t>ご返品</t>
        </is>
      </c>
    </row>
    <row r="20">
      <c r="A20" s="2" t="inlineStr">
        <is>
          <t>2026-07-10</t>
        </is>
      </c>
      <c r="B20" s="2" t="inlineStr">
        <is>
          <t>本人</t>
        </is>
      </c>
      <c r="C20" s="2" t="inlineStr">
        <is>
          <t>7月事務手数料</t>
        </is>
      </c>
      <c r="D20" s="2" t="inlineStr">
        <is>
          <t>手数料・利息</t>
        </is>
      </c>
      <c r="E20" s="2" t="inlineStr">
        <is>
          <t>1回</t>
        </is>
      </c>
      <c r="F20" s="3" t="n">
        <v>440</v>
      </c>
      <c r="G20" s="2" t="inlineStr">
        <is>
          <t>10%税込</t>
        </is>
      </c>
    </row>
    <row r="22">
      <c r="E22" s="4" t="inlineStr">
        <is>
          <t>今回ご利用金額合計</t>
        </is>
      </c>
      <c r="F22" s="5">
        <f>SUM(F2:F20)</f>
        <v/>
      </c>
    </row>
    <row r="24">
      <c r="A24" s="6" t="inlineStr">
        <is>
          <t>※上記の明細合計（5,796円）と、実際の請求金額（34,473円、支払日2026年8月3日）には差があります。明細書内の「7月10日現在残高」欄も34,473円となっており、明細に記載されない繰越・別枠の請求が含まれている可能性があります。原本PDFで要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</cols>
  <sheetData>
    <row r="1">
      <c r="A1" s="7" t="inlineStr">
        <is>
          <t>イオンゴールドカード 2026年8月お支払分（利用期間 6/10〜7/10）利用者別集計</t>
        </is>
      </c>
    </row>
    <row r="3">
      <c r="A3" s="8" t="inlineStr">
        <is>
          <t>利用者</t>
        </is>
      </c>
      <c r="B3" s="8" t="inlineStr">
        <is>
          <t>金額</t>
        </is>
      </c>
      <c r="C3" s="8" t="inlineStr">
        <is>
          <t>件数</t>
        </is>
      </c>
    </row>
    <row r="4">
      <c r="A4" s="2" t="inlineStr">
        <is>
          <t>本人</t>
        </is>
      </c>
      <c r="B4" s="3">
        <f>SUMIF(明細!$B$2:$B$20,$A4,明細!$F$2:$F$20)</f>
        <v/>
      </c>
      <c r="C4" s="2">
        <f>COUNTIF(明細!$B$2:$B$20,$A4)</f>
        <v/>
      </c>
    </row>
    <row r="5">
      <c r="A5" s="2" t="inlineStr">
        <is>
          <t>家族1（奥様）</t>
        </is>
      </c>
      <c r="B5" s="3">
        <f>SUMIF(明細!$B$2:$B$20,$A5,明細!$F$2:$F$20)</f>
        <v/>
      </c>
      <c r="C5" s="2">
        <f>COUNTIF(明細!$B$2:$B$20,$A5)</f>
        <v/>
      </c>
    </row>
    <row r="6">
      <c r="A6" s="4" t="inlineStr">
        <is>
          <t>合計</t>
        </is>
      </c>
      <c r="B6" s="5">
        <f>SUM(B4:B5)</f>
        <v/>
      </c>
      <c r="C6" s="4">
        <f>SUM(C4:C5)</f>
        <v/>
      </c>
    </row>
    <row r="8">
      <c r="A8" s="9" t="inlineStr">
        <is>
          <t>参考：今回ご請求金額（口座引落額・2026/8/3）</t>
        </is>
      </c>
      <c r="B8" s="10" t="n">
        <v>34473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</cols>
  <sheetData>
    <row r="1">
      <c r="A1" s="7" t="inlineStr">
        <is>
          <t>カテゴリ別集計（2026年8月お支払分）</t>
        </is>
      </c>
    </row>
    <row r="3">
      <c r="A3" s="8" t="inlineStr">
        <is>
          <t>カテゴリ</t>
        </is>
      </c>
      <c r="B3" s="8" t="inlineStr">
        <is>
          <t>金額</t>
        </is>
      </c>
      <c r="C3" s="8" t="inlineStr">
        <is>
          <t>構成比</t>
        </is>
      </c>
    </row>
    <row r="4">
      <c r="A4" s="2" t="inlineStr">
        <is>
          <t>その他</t>
        </is>
      </c>
      <c r="B4" s="3">
        <f>SUMIF(明細!$D$2:$D$20,$A4,明細!$F$2:$F$20)</f>
        <v/>
      </c>
      <c r="C4" s="11">
        <f>B4/$B$13</f>
        <v/>
      </c>
    </row>
    <row r="5">
      <c r="A5" s="2" t="inlineStr">
        <is>
          <t>ショッピングモール・百貨店</t>
        </is>
      </c>
      <c r="B5" s="3">
        <f>SUMIF(明細!$D$2:$D$20,$A5,明細!$F$2:$F$20)</f>
        <v/>
      </c>
      <c r="C5" s="11">
        <f>B5/$B$13</f>
        <v/>
      </c>
    </row>
    <row r="6">
      <c r="A6" s="2" t="inlineStr">
        <is>
          <t>スーパー・食料品</t>
        </is>
      </c>
      <c r="B6" s="3">
        <f>SUMIF(明細!$D$2:$D$20,$A6,明細!$F$2:$F$20)</f>
        <v/>
      </c>
      <c r="C6" s="11">
        <f>B6/$B$13</f>
        <v/>
      </c>
    </row>
    <row r="7">
      <c r="A7" s="2" t="inlineStr">
        <is>
          <t>ネットショッピング</t>
        </is>
      </c>
      <c r="B7" s="3">
        <f>SUMIF(明細!$D$2:$D$20,$A7,明細!$F$2:$F$20)</f>
        <v/>
      </c>
      <c r="C7" s="11">
        <f>B7/$B$13</f>
        <v/>
      </c>
    </row>
    <row r="8">
      <c r="A8" s="2" t="inlineStr">
        <is>
          <t>ファッション・美容</t>
        </is>
      </c>
      <c r="B8" s="3">
        <f>SUMIF(明細!$D$2:$D$20,$A8,明細!$F$2:$F$20)</f>
        <v/>
      </c>
      <c r="C8" s="11">
        <f>B8/$B$13</f>
        <v/>
      </c>
    </row>
    <row r="9">
      <c r="A9" s="2" t="inlineStr">
        <is>
          <t>外食・カフェ</t>
        </is>
      </c>
      <c r="B9" s="3">
        <f>SUMIF(明細!$D$2:$D$20,$A9,明細!$F$2:$F$20)</f>
        <v/>
      </c>
      <c r="C9" s="11">
        <f>B9/$B$13</f>
        <v/>
      </c>
    </row>
    <row r="10">
      <c r="A10" s="2" t="inlineStr">
        <is>
          <t>手数料・利息</t>
        </is>
      </c>
      <c r="B10" s="3">
        <f>SUMIF(明細!$D$2:$D$20,$A10,明細!$F$2:$F$20)</f>
        <v/>
      </c>
      <c r="C10" s="11">
        <f>B10/$B$13</f>
        <v/>
      </c>
    </row>
    <row r="11">
      <c r="A11" s="2" t="inlineStr">
        <is>
          <t>旅行・宿泊</t>
        </is>
      </c>
      <c r="B11" s="3">
        <f>SUMIF(明細!$D$2:$D$20,$A11,明細!$F$2:$F$20)</f>
        <v/>
      </c>
      <c r="C11" s="11">
        <f>B11/$B$13</f>
        <v/>
      </c>
    </row>
    <row r="12">
      <c r="A12" s="2" t="inlineStr">
        <is>
          <t>日用品・インテリア</t>
        </is>
      </c>
      <c r="B12" s="3">
        <f>SUMIF(明細!$D$2:$D$20,$A12,明細!$F$2:$F$20)</f>
        <v/>
      </c>
      <c r="C12" s="11">
        <f>B12/$B$13</f>
        <v/>
      </c>
    </row>
    <row r="13">
      <c r="A13" s="4" t="inlineStr">
        <is>
          <t>合計</t>
        </is>
      </c>
      <c r="B13" s="5">
        <f>SUM(B4:B12)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2026-08-02T08:37:29Z</dcterms:created>
  <dcterms:modified xsi:type="dcterms:W3CDTF">2026-08-02T08:37:29Z</dcterms:modified>
</cp:coreProperties>
</file>