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月別サマリー" sheetId="2" state="visible" r:id="rId2"/>
    <sheet name="カテゴリ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B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3" fontId="3" fillId="0" borderId="1" pivotButton="0" quotePrefix="0" xfId="0"/>
    <xf numFmtId="0" fontId="3" fillId="0" borderId="1" pivotButton="0" quotePrefix="0" xfId="0"/>
    <xf numFmtId="0" fontId="3" fillId="0" borderId="0" applyAlignment="1" pivotButton="0" quotePrefix="0" xfId="0">
      <alignment wrapText="1"/>
    </xf>
    <xf numFmtId="164" fontId="2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利用日</t>
        </is>
      </c>
      <c r="B1" s="1" t="inlineStr">
        <is>
          <t>利用店名</t>
        </is>
      </c>
      <c r="C1" s="1" t="inlineStr">
        <is>
          <t>カテゴリ</t>
        </is>
      </c>
      <c r="D1" s="1" t="inlineStr">
        <is>
          <t>利用者</t>
        </is>
      </c>
      <c r="E1" s="1" t="inlineStr">
        <is>
          <t>支払方法</t>
        </is>
      </c>
      <c r="F1" s="1" t="inlineStr">
        <is>
          <t>金額</t>
        </is>
      </c>
      <c r="G1" s="1" t="inlineStr">
        <is>
          <t>お支払月</t>
        </is>
      </c>
    </row>
    <row r="2">
      <c r="A2" s="2" t="inlineStr">
        <is>
          <t>2025/11/30</t>
        </is>
      </c>
      <c r="B2" s="2" t="inlineStr">
        <is>
          <t>ＵＱ ｍｏｂｉｌｅご利用料金</t>
        </is>
      </c>
      <c r="C2" s="2" t="inlineStr">
        <is>
          <t>通信費・サブスク</t>
        </is>
      </c>
      <c r="D2" s="2" t="inlineStr">
        <is>
          <t>本人*</t>
        </is>
      </c>
      <c r="E2" s="2" t="inlineStr">
        <is>
          <t>1回払い</t>
        </is>
      </c>
      <c r="F2" s="3" t="n">
        <v>3743</v>
      </c>
      <c r="G2" s="2" t="inlineStr">
        <is>
          <t>1月</t>
        </is>
      </c>
    </row>
    <row r="3">
      <c r="A3" s="2" t="inlineStr">
        <is>
          <t>2025/12/01</t>
        </is>
      </c>
      <c r="B3" s="2" t="inlineStr">
        <is>
          <t>GOOGLE*CLOUD 8V57</t>
        </is>
      </c>
      <c r="C3" s="2" t="inlineStr">
        <is>
          <t>通信費・サブスク</t>
        </is>
      </c>
      <c r="D3" s="2" t="inlineStr">
        <is>
          <t>本人*</t>
        </is>
      </c>
      <c r="E3" s="2" t="inlineStr">
        <is>
          <t>1回払い</t>
        </is>
      </c>
      <c r="F3" s="3" t="n">
        <v>1</v>
      </c>
      <c r="G3" s="2" t="inlineStr">
        <is>
          <t>1月</t>
        </is>
      </c>
    </row>
    <row r="4">
      <c r="A4" s="2" t="inlineStr">
        <is>
          <t>2025/12/05</t>
        </is>
      </c>
      <c r="B4" s="2" t="inlineStr">
        <is>
          <t>ﾈｯﾄﾌﾘｯｸｽ</t>
        </is>
      </c>
      <c r="C4" s="2" t="inlineStr">
        <is>
          <t>通信費・サブスク</t>
        </is>
      </c>
      <c r="D4" s="2" t="inlineStr">
        <is>
          <t>本人*</t>
        </is>
      </c>
      <c r="E4" s="2" t="inlineStr">
        <is>
          <t>1回払い</t>
        </is>
      </c>
      <c r="F4" s="3" t="n">
        <v>890</v>
      </c>
      <c r="G4" s="2" t="inlineStr">
        <is>
          <t>1月</t>
        </is>
      </c>
    </row>
    <row r="5">
      <c r="A5" s="2" t="inlineStr">
        <is>
          <t>2025/12/08</t>
        </is>
      </c>
      <c r="B5" s="2" t="inlineStr">
        <is>
          <t>お名前．ｃｏｍレンタルサーバー</t>
        </is>
      </c>
      <c r="C5" s="2" t="inlineStr">
        <is>
          <t>通信費・サブスク</t>
        </is>
      </c>
      <c r="D5" s="2" t="inlineStr">
        <is>
          <t>本人*</t>
        </is>
      </c>
      <c r="E5" s="2" t="inlineStr">
        <is>
          <t>1回払い</t>
        </is>
      </c>
      <c r="F5" s="3" t="n">
        <v>484</v>
      </c>
      <c r="G5" s="2" t="inlineStr">
        <is>
          <t>1月</t>
        </is>
      </c>
    </row>
    <row r="6">
      <c r="A6" s="2" t="inlineStr">
        <is>
          <t>2025/12/14</t>
        </is>
      </c>
      <c r="B6" s="2" t="inlineStr">
        <is>
          <t>楽天キャッシュ チャージ</t>
        </is>
      </c>
      <c r="C6" s="2" t="inlineStr">
        <is>
          <t>電子マネー・チャージ</t>
        </is>
      </c>
      <c r="D6" s="2" t="inlineStr">
        <is>
          <t>本人*</t>
        </is>
      </c>
      <c r="E6" s="2" t="inlineStr">
        <is>
          <t>1回払い</t>
        </is>
      </c>
      <c r="F6" s="3" t="n">
        <v>29559</v>
      </c>
      <c r="G6" s="2" t="inlineStr">
        <is>
          <t>1月</t>
        </is>
      </c>
    </row>
    <row r="7">
      <c r="A7" s="2" t="inlineStr">
        <is>
          <t>2025/12/16</t>
        </is>
      </c>
      <c r="B7" s="2" t="inlineStr">
        <is>
          <t>楽天証券投信積立０．５％〜</t>
        </is>
      </c>
      <c r="C7" s="2" t="inlineStr">
        <is>
          <t>投資</t>
        </is>
      </c>
      <c r="D7" s="2" t="inlineStr">
        <is>
          <t>本人*</t>
        </is>
      </c>
      <c r="E7" s="2" t="inlineStr">
        <is>
          <t>1回払い</t>
        </is>
      </c>
      <c r="F7" s="3" t="n">
        <v>49994</v>
      </c>
      <c r="G7" s="2" t="inlineStr">
        <is>
          <t>1月</t>
        </is>
      </c>
    </row>
    <row r="8">
      <c r="A8" s="2" t="inlineStr">
        <is>
          <t>2025/12/30</t>
        </is>
      </c>
      <c r="B8" s="2" t="inlineStr">
        <is>
          <t>ＥＴＣカード売上</t>
        </is>
      </c>
      <c r="C8" s="2" t="inlineStr">
        <is>
          <t>交通費</t>
        </is>
      </c>
      <c r="D8" s="2" t="inlineStr">
        <is>
          <t>ETC*</t>
        </is>
      </c>
      <c r="E8" s="2" t="inlineStr">
        <is>
          <t>1回払い</t>
        </is>
      </c>
      <c r="F8" s="3" t="n">
        <v>5960</v>
      </c>
      <c r="G8" s="2" t="inlineStr">
        <is>
          <t>2月</t>
        </is>
      </c>
    </row>
    <row r="9">
      <c r="A9" s="2" t="inlineStr">
        <is>
          <t>2025/12/31</t>
        </is>
      </c>
      <c r="B9" s="2" t="inlineStr">
        <is>
          <t>ＵＱ ｍｏｂｉｌｅご利用料金</t>
        </is>
      </c>
      <c r="C9" s="2" t="inlineStr">
        <is>
          <t>通信費・サブスク</t>
        </is>
      </c>
      <c r="D9" s="2" t="inlineStr">
        <is>
          <t>本人*</t>
        </is>
      </c>
      <c r="E9" s="2" t="inlineStr">
        <is>
          <t>1回払い</t>
        </is>
      </c>
      <c r="F9" s="3" t="n">
        <v>3750</v>
      </c>
      <c r="G9" s="2" t="inlineStr">
        <is>
          <t>2月</t>
        </is>
      </c>
    </row>
    <row r="10">
      <c r="A10" s="2" t="inlineStr">
        <is>
          <t>2025/12/31</t>
        </is>
      </c>
      <c r="B10" s="2" t="inlineStr">
        <is>
          <t>ＥＴＣカード売上</t>
        </is>
      </c>
      <c r="C10" s="2" t="inlineStr">
        <is>
          <t>交通費</t>
        </is>
      </c>
      <c r="D10" s="2" t="inlineStr">
        <is>
          <t>ETC*</t>
        </is>
      </c>
      <c r="E10" s="2" t="inlineStr">
        <is>
          <t>1回払い</t>
        </is>
      </c>
      <c r="F10" s="3" t="n">
        <v>2430</v>
      </c>
      <c r="G10" s="2" t="inlineStr">
        <is>
          <t>2月</t>
        </is>
      </c>
    </row>
    <row r="11">
      <c r="A11" s="2" t="inlineStr">
        <is>
          <t>2025/12/31</t>
        </is>
      </c>
      <c r="B11" s="2" t="inlineStr">
        <is>
          <t>ＥＴＣカード売上</t>
        </is>
      </c>
      <c r="C11" s="2" t="inlineStr">
        <is>
          <t>交通費</t>
        </is>
      </c>
      <c r="D11" s="2" t="inlineStr">
        <is>
          <t>ETC*</t>
        </is>
      </c>
      <c r="E11" s="2" t="inlineStr">
        <is>
          <t>1回払い</t>
        </is>
      </c>
      <c r="F11" s="3" t="n">
        <v>710</v>
      </c>
      <c r="G11" s="2" t="inlineStr">
        <is>
          <t>2月</t>
        </is>
      </c>
    </row>
    <row r="12">
      <c r="A12" s="2" t="inlineStr">
        <is>
          <t>2026/01/01</t>
        </is>
      </c>
      <c r="B12" s="2" t="inlineStr">
        <is>
          <t>ＥＴＣカード売上</t>
        </is>
      </c>
      <c r="C12" s="2" t="inlineStr">
        <is>
          <t>交通費</t>
        </is>
      </c>
      <c r="D12" s="2" t="inlineStr">
        <is>
          <t>ETC*</t>
        </is>
      </c>
      <c r="E12" s="2" t="inlineStr">
        <is>
          <t>1回払い</t>
        </is>
      </c>
      <c r="F12" s="3" t="n">
        <v>4180</v>
      </c>
      <c r="G12" s="2" t="inlineStr">
        <is>
          <t>2月</t>
        </is>
      </c>
    </row>
    <row r="13">
      <c r="A13" s="2" t="inlineStr">
        <is>
          <t>2026/01/02</t>
        </is>
      </c>
      <c r="B13" s="2" t="inlineStr">
        <is>
          <t>ＥＴＣカード売上</t>
        </is>
      </c>
      <c r="C13" s="2" t="inlineStr">
        <is>
          <t>交通費</t>
        </is>
      </c>
      <c r="D13" s="2" t="inlineStr">
        <is>
          <t>ETC*</t>
        </is>
      </c>
      <c r="E13" s="2" t="inlineStr">
        <is>
          <t>1回払い</t>
        </is>
      </c>
      <c r="F13" s="3" t="n">
        <v>940</v>
      </c>
      <c r="G13" s="2" t="inlineStr">
        <is>
          <t>2月</t>
        </is>
      </c>
    </row>
    <row r="14">
      <c r="A14" s="2" t="inlineStr">
        <is>
          <t>2026/01/02</t>
        </is>
      </c>
      <c r="B14" s="2" t="inlineStr">
        <is>
          <t>ＥＴＣカード売上</t>
        </is>
      </c>
      <c r="C14" s="2" t="inlineStr">
        <is>
          <t>交通費</t>
        </is>
      </c>
      <c r="D14" s="2" t="inlineStr">
        <is>
          <t>ETC*</t>
        </is>
      </c>
      <c r="E14" s="2" t="inlineStr">
        <is>
          <t>1回払い</t>
        </is>
      </c>
      <c r="F14" s="3" t="n">
        <v>1860</v>
      </c>
      <c r="G14" s="2" t="inlineStr">
        <is>
          <t>2月</t>
        </is>
      </c>
    </row>
    <row r="15">
      <c r="A15" s="2" t="inlineStr">
        <is>
          <t>2026/01/03</t>
        </is>
      </c>
      <c r="B15" s="2" t="inlineStr">
        <is>
          <t>ＥＴＣカード売上</t>
        </is>
      </c>
      <c r="C15" s="2" t="inlineStr">
        <is>
          <t>交通費</t>
        </is>
      </c>
      <c r="D15" s="2" t="inlineStr">
        <is>
          <t>ETC*</t>
        </is>
      </c>
      <c r="E15" s="2" t="inlineStr">
        <is>
          <t>1回払い</t>
        </is>
      </c>
      <c r="F15" s="3" t="n">
        <v>710</v>
      </c>
      <c r="G15" s="2" t="inlineStr">
        <is>
          <t>2月</t>
        </is>
      </c>
    </row>
    <row r="16">
      <c r="A16" s="2" t="inlineStr">
        <is>
          <t>2026/01/03</t>
        </is>
      </c>
      <c r="B16" s="2" t="inlineStr">
        <is>
          <t>ＥＴＣカード売上</t>
        </is>
      </c>
      <c r="C16" s="2" t="inlineStr">
        <is>
          <t>交通費</t>
        </is>
      </c>
      <c r="D16" s="2" t="inlineStr">
        <is>
          <t>ETC*</t>
        </is>
      </c>
      <c r="E16" s="2" t="inlineStr">
        <is>
          <t>1回払い</t>
        </is>
      </c>
      <c r="F16" s="3" t="n">
        <v>760</v>
      </c>
      <c r="G16" s="2" t="inlineStr">
        <is>
          <t>2月</t>
        </is>
      </c>
    </row>
    <row r="17">
      <c r="A17" s="2" t="inlineStr">
        <is>
          <t>2026/01/06</t>
        </is>
      </c>
      <c r="B17" s="2" t="inlineStr">
        <is>
          <t>ﾈｯﾄﾌﾘｯｸｽ</t>
        </is>
      </c>
      <c r="C17" s="2" t="inlineStr">
        <is>
          <t>通信費・サブスク</t>
        </is>
      </c>
      <c r="D17" s="2" t="inlineStr">
        <is>
          <t>本人*</t>
        </is>
      </c>
      <c r="E17" s="2" t="inlineStr">
        <is>
          <t>1回払い</t>
        </is>
      </c>
      <c r="F17" s="3" t="n">
        <v>890</v>
      </c>
      <c r="G17" s="2" t="inlineStr">
        <is>
          <t>2月</t>
        </is>
      </c>
    </row>
    <row r="18">
      <c r="A18" s="2" t="inlineStr">
        <is>
          <t>2026/01/09</t>
        </is>
      </c>
      <c r="B18" s="2" t="inlineStr">
        <is>
          <t>お名前．ｃｏｍレンタルサーバー</t>
        </is>
      </c>
      <c r="C18" s="2" t="inlineStr">
        <is>
          <t>通信費・サブスク</t>
        </is>
      </c>
      <c r="D18" s="2" t="inlineStr">
        <is>
          <t>本人*</t>
        </is>
      </c>
      <c r="E18" s="2" t="inlineStr">
        <is>
          <t>1回払い</t>
        </is>
      </c>
      <c r="F18" s="3" t="n">
        <v>484</v>
      </c>
      <c r="G18" s="2" t="inlineStr">
        <is>
          <t>2月</t>
        </is>
      </c>
    </row>
    <row r="19">
      <c r="A19" s="2" t="inlineStr">
        <is>
          <t>2026/01/12</t>
        </is>
      </c>
      <c r="B19" s="2" t="inlineStr">
        <is>
          <t>ＥＴＣカード売上</t>
        </is>
      </c>
      <c r="C19" s="2" t="inlineStr">
        <is>
          <t>交通費</t>
        </is>
      </c>
      <c r="D19" s="2" t="inlineStr">
        <is>
          <t>ETC*</t>
        </is>
      </c>
      <c r="E19" s="2" t="inlineStr">
        <is>
          <t>1回払い</t>
        </is>
      </c>
      <c r="F19" s="3" t="n">
        <v>370</v>
      </c>
      <c r="G19" s="2" t="inlineStr">
        <is>
          <t>2月</t>
        </is>
      </c>
    </row>
    <row r="20">
      <c r="A20" s="2" t="inlineStr">
        <is>
          <t>2026/01/25</t>
        </is>
      </c>
      <c r="B20" s="2" t="inlineStr">
        <is>
          <t>ＥＴＣカード売上</t>
        </is>
      </c>
      <c r="C20" s="2" t="inlineStr">
        <is>
          <t>交通費</t>
        </is>
      </c>
      <c r="D20" s="2" t="inlineStr">
        <is>
          <t>ETC*</t>
        </is>
      </c>
      <c r="E20" s="2" t="inlineStr">
        <is>
          <t>1回払い</t>
        </is>
      </c>
      <c r="F20" s="3" t="n">
        <v>710</v>
      </c>
      <c r="G20" s="2" t="inlineStr">
        <is>
          <t>3月</t>
        </is>
      </c>
    </row>
    <row r="21">
      <c r="A21" s="2" t="inlineStr">
        <is>
          <t>2026/01/25</t>
        </is>
      </c>
      <c r="B21" s="2" t="inlineStr">
        <is>
          <t>ＥＴＣカード売上</t>
        </is>
      </c>
      <c r="C21" s="2" t="inlineStr">
        <is>
          <t>交通費</t>
        </is>
      </c>
      <c r="D21" s="2" t="inlineStr">
        <is>
          <t>ETC*</t>
        </is>
      </c>
      <c r="E21" s="2" t="inlineStr">
        <is>
          <t>1回払い</t>
        </is>
      </c>
      <c r="F21" s="3" t="n">
        <v>300</v>
      </c>
      <c r="G21" s="2" t="inlineStr">
        <is>
          <t>3月</t>
        </is>
      </c>
    </row>
    <row r="22">
      <c r="A22" s="2" t="inlineStr">
        <is>
          <t>2026/01/31</t>
        </is>
      </c>
      <c r="B22" s="2" t="inlineStr">
        <is>
          <t>ＵＱ ｍｏｂｉｌｅご利用料金</t>
        </is>
      </c>
      <c r="C22" s="2" t="inlineStr">
        <is>
          <t>通信費・サブスク</t>
        </is>
      </c>
      <c r="D22" s="2" t="inlineStr">
        <is>
          <t>本人*</t>
        </is>
      </c>
      <c r="E22" s="2" t="inlineStr">
        <is>
          <t>1回払い</t>
        </is>
      </c>
      <c r="F22" s="3" t="n">
        <v>3742</v>
      </c>
      <c r="G22" s="2" t="inlineStr">
        <is>
          <t>3月</t>
        </is>
      </c>
    </row>
    <row r="23">
      <c r="A23" s="2" t="inlineStr">
        <is>
          <t>2026/02/06</t>
        </is>
      </c>
      <c r="B23" s="2" t="inlineStr">
        <is>
          <t>ＮＥＴＦＬＩＸ．ＣＯＭ</t>
        </is>
      </c>
      <c r="C23" s="2" t="inlineStr">
        <is>
          <t>通信費・サブスク</t>
        </is>
      </c>
      <c r="D23" s="2" t="inlineStr">
        <is>
          <t>本人*</t>
        </is>
      </c>
      <c r="E23" s="2" t="inlineStr">
        <is>
          <t>1回払い</t>
        </is>
      </c>
      <c r="F23" s="3" t="n">
        <v>890</v>
      </c>
      <c r="G23" s="2" t="inlineStr">
        <is>
          <t>3月</t>
        </is>
      </c>
    </row>
    <row r="24">
      <c r="A24" s="2" t="inlineStr">
        <is>
          <t>2026/02/06</t>
        </is>
      </c>
      <c r="B24" s="2" t="inlineStr">
        <is>
          <t>お名前．ｃｏｍレンタルサーバー</t>
        </is>
      </c>
      <c r="C24" s="2" t="inlineStr">
        <is>
          <t>通信費・サブスク</t>
        </is>
      </c>
      <c r="D24" s="2" t="inlineStr">
        <is>
          <t>本人*</t>
        </is>
      </c>
      <c r="E24" s="2" t="inlineStr">
        <is>
          <t>1回払い</t>
        </is>
      </c>
      <c r="F24" s="3" t="n">
        <v>484</v>
      </c>
      <c r="G24" s="2" t="inlineStr">
        <is>
          <t>3月</t>
        </is>
      </c>
    </row>
    <row r="25">
      <c r="A25" s="2" t="inlineStr">
        <is>
          <t>2026/02/28</t>
        </is>
      </c>
      <c r="B25" s="2" t="inlineStr">
        <is>
          <t>ＵＱ ｍｏｂｉｌｅご利用料金</t>
        </is>
      </c>
      <c r="C25" s="2" t="inlineStr">
        <is>
          <t>通信費・サブスク</t>
        </is>
      </c>
      <c r="D25" s="2" t="inlineStr">
        <is>
          <t>本人*</t>
        </is>
      </c>
      <c r="E25" s="2" t="inlineStr">
        <is>
          <t>1回払い</t>
        </is>
      </c>
      <c r="F25" s="3" t="n">
        <v>3745</v>
      </c>
      <c r="G25" s="2" t="inlineStr">
        <is>
          <t>4月</t>
        </is>
      </c>
    </row>
    <row r="26">
      <c r="A26" s="2" t="inlineStr">
        <is>
          <t>2026/03/01</t>
        </is>
      </c>
      <c r="B26" s="2" t="inlineStr">
        <is>
          <t>ｵﾅﾏｴﾄﾞﾂﾄｺﾑﾚﾝﾀﾙｻｰﾊ</t>
        </is>
      </c>
      <c r="C26" s="2" t="inlineStr">
        <is>
          <t>通信費・サブスク</t>
        </is>
      </c>
      <c r="D26" s="2" t="inlineStr">
        <is>
          <t>本人*</t>
        </is>
      </c>
      <c r="E26" s="2" t="inlineStr">
        <is>
          <t>1回払い</t>
        </is>
      </c>
      <c r="F26" s="3" t="n">
        <v>484</v>
      </c>
      <c r="G26" s="2" t="inlineStr">
        <is>
          <t>4月</t>
        </is>
      </c>
    </row>
    <row r="27">
      <c r="A27" s="2" t="inlineStr">
        <is>
          <t>2026/03/05</t>
        </is>
      </c>
      <c r="B27" s="2" t="inlineStr">
        <is>
          <t>ﾈｯﾄﾌﾘｯｸｽ</t>
        </is>
      </c>
      <c r="C27" s="2" t="inlineStr">
        <is>
          <t>通信費・サブスク</t>
        </is>
      </c>
      <c r="D27" s="2" t="inlineStr">
        <is>
          <t>本人*</t>
        </is>
      </c>
      <c r="E27" s="2" t="inlineStr">
        <is>
          <t>1回払い</t>
        </is>
      </c>
      <c r="F27" s="3" t="n">
        <v>890</v>
      </c>
      <c r="G27" s="2" t="inlineStr">
        <is>
          <t>4月</t>
        </is>
      </c>
    </row>
    <row r="28">
      <c r="A28" s="2" t="inlineStr">
        <is>
          <t>2026/03/31</t>
        </is>
      </c>
      <c r="B28" s="2" t="inlineStr">
        <is>
          <t>ＵＱ ｍｏｂｉｌｅご利用料金</t>
        </is>
      </c>
      <c r="C28" s="2" t="inlineStr">
        <is>
          <t>通信費・サブスク</t>
        </is>
      </c>
      <c r="D28" s="2" t="inlineStr">
        <is>
          <t>本人*</t>
        </is>
      </c>
      <c r="E28" s="2" t="inlineStr">
        <is>
          <t>1回払い</t>
        </is>
      </c>
      <c r="F28" s="3" t="n">
        <v>3744</v>
      </c>
      <c r="G28" s="2" t="inlineStr">
        <is>
          <t>5月</t>
        </is>
      </c>
    </row>
    <row r="29">
      <c r="A29" s="2" t="inlineStr">
        <is>
          <t>2026/04/05</t>
        </is>
      </c>
      <c r="B29" s="2" t="inlineStr">
        <is>
          <t>ＥＴＣカード売上</t>
        </is>
      </c>
      <c r="C29" s="2" t="inlineStr">
        <is>
          <t>交通費</t>
        </is>
      </c>
      <c r="D29" s="2" t="inlineStr">
        <is>
          <t>ETC*</t>
        </is>
      </c>
      <c r="E29" s="2" t="inlineStr">
        <is>
          <t>1回払い</t>
        </is>
      </c>
      <c r="F29" s="3" t="n">
        <v>160</v>
      </c>
      <c r="G29" s="2" t="inlineStr">
        <is>
          <t>5月</t>
        </is>
      </c>
    </row>
    <row r="30">
      <c r="A30" s="2" t="inlineStr">
        <is>
          <t>2026/04/05</t>
        </is>
      </c>
      <c r="B30" s="2" t="inlineStr">
        <is>
          <t>ＥＴＣカード売上</t>
        </is>
      </c>
      <c r="C30" s="2" t="inlineStr">
        <is>
          <t>交通費</t>
        </is>
      </c>
      <c r="D30" s="2" t="inlineStr">
        <is>
          <t>ETC*</t>
        </is>
      </c>
      <c r="E30" s="2" t="inlineStr">
        <is>
          <t>1回払い</t>
        </is>
      </c>
      <c r="F30" s="3" t="n">
        <v>160</v>
      </c>
      <c r="G30" s="2" t="inlineStr">
        <is>
          <t>5月</t>
        </is>
      </c>
    </row>
    <row r="31">
      <c r="A31" s="2" t="inlineStr">
        <is>
          <t>2026/04/05</t>
        </is>
      </c>
      <c r="B31" s="2" t="inlineStr">
        <is>
          <t>ＥＴＣカード売上</t>
        </is>
      </c>
      <c r="C31" s="2" t="inlineStr">
        <is>
          <t>交通費</t>
        </is>
      </c>
      <c r="D31" s="2" t="inlineStr">
        <is>
          <t>ETC*</t>
        </is>
      </c>
      <c r="E31" s="2" t="inlineStr">
        <is>
          <t>1回払い</t>
        </is>
      </c>
      <c r="F31" s="3" t="n">
        <v>870</v>
      </c>
      <c r="G31" s="2" t="inlineStr">
        <is>
          <t>5月</t>
        </is>
      </c>
    </row>
    <row r="32">
      <c r="A32" s="2" t="inlineStr">
        <is>
          <t>2026/04/05</t>
        </is>
      </c>
      <c r="B32" s="2" t="inlineStr">
        <is>
          <t>ＥＴＣカード売上</t>
        </is>
      </c>
      <c r="C32" s="2" t="inlineStr">
        <is>
          <t>交通費</t>
        </is>
      </c>
      <c r="D32" s="2" t="inlineStr">
        <is>
          <t>ETC*</t>
        </is>
      </c>
      <c r="E32" s="2" t="inlineStr">
        <is>
          <t>1回払い</t>
        </is>
      </c>
      <c r="F32" s="3" t="n">
        <v>1020</v>
      </c>
      <c r="G32" s="2" t="inlineStr">
        <is>
          <t>5月</t>
        </is>
      </c>
    </row>
    <row r="33">
      <c r="A33" s="2" t="inlineStr">
        <is>
          <t>2026/04/05</t>
        </is>
      </c>
      <c r="B33" s="2" t="inlineStr">
        <is>
          <t>ＥＴＣカード売上</t>
        </is>
      </c>
      <c r="C33" s="2" t="inlineStr">
        <is>
          <t>交通費</t>
        </is>
      </c>
      <c r="D33" s="2" t="inlineStr">
        <is>
          <t>ETC*</t>
        </is>
      </c>
      <c r="E33" s="2" t="inlineStr">
        <is>
          <t>1回払い</t>
        </is>
      </c>
      <c r="F33" s="3" t="n">
        <v>1470</v>
      </c>
      <c r="G33" s="2" t="inlineStr">
        <is>
          <t>5月</t>
        </is>
      </c>
    </row>
    <row r="34">
      <c r="A34" s="2" t="inlineStr">
        <is>
          <t>2026/04/05</t>
        </is>
      </c>
      <c r="B34" s="2" t="inlineStr">
        <is>
          <t>ＥＴＣカード売上</t>
        </is>
      </c>
      <c r="C34" s="2" t="inlineStr">
        <is>
          <t>交通費</t>
        </is>
      </c>
      <c r="D34" s="2" t="inlineStr">
        <is>
          <t>ETC*</t>
        </is>
      </c>
      <c r="E34" s="2" t="inlineStr">
        <is>
          <t>1回払い</t>
        </is>
      </c>
      <c r="F34" s="3" t="n">
        <v>1060</v>
      </c>
      <c r="G34" s="2" t="inlineStr">
        <is>
          <t>5月</t>
        </is>
      </c>
    </row>
    <row r="35">
      <c r="A35" s="2" t="inlineStr">
        <is>
          <t>2026/04/06</t>
        </is>
      </c>
      <c r="B35" s="2" t="inlineStr">
        <is>
          <t>ﾈｯﾄﾌﾘｯｸｽ</t>
        </is>
      </c>
      <c r="C35" s="2" t="inlineStr">
        <is>
          <t>通信費・サブスク</t>
        </is>
      </c>
      <c r="D35" s="2" t="inlineStr">
        <is>
          <t>本人*</t>
        </is>
      </c>
      <c r="E35" s="2" t="inlineStr">
        <is>
          <t>1回払い</t>
        </is>
      </c>
      <c r="F35" s="3" t="n">
        <v>890</v>
      </c>
      <c r="G35" s="2" t="inlineStr">
        <is>
          <t>5月</t>
        </is>
      </c>
    </row>
    <row r="36">
      <c r="A36" s="2" t="inlineStr">
        <is>
          <t>2026/04/24</t>
        </is>
      </c>
      <c r="B36" s="2" t="inlineStr">
        <is>
          <t>ﾗｲﾌｼﾕｸｶﾞﾜﾃﾝ</t>
        </is>
      </c>
      <c r="C36" s="2" t="inlineStr">
        <is>
          <t>スーパー・食料品</t>
        </is>
      </c>
      <c r="D36" s="2" t="inlineStr">
        <is>
          <t>本人*</t>
        </is>
      </c>
      <c r="E36" s="2" t="inlineStr">
        <is>
          <t>1回払い</t>
        </is>
      </c>
      <c r="F36" s="3" t="n">
        <v>517</v>
      </c>
      <c r="G36" s="2" t="inlineStr">
        <is>
          <t>5月</t>
        </is>
      </c>
    </row>
    <row r="37">
      <c r="A37" s="2" t="inlineStr">
        <is>
          <t>2026/04/25</t>
        </is>
      </c>
      <c r="B37" s="2" t="inlineStr">
        <is>
          <t>ｺｽﾓｾｷﾕﾏｰｹﾃｲﾝｸﾞ(ｶ</t>
        </is>
      </c>
      <c r="C37" s="2" t="inlineStr">
        <is>
          <t>交通費</t>
        </is>
      </c>
      <c r="D37" s="2" t="inlineStr">
        <is>
          <t>本人*</t>
        </is>
      </c>
      <c r="E37" s="2" t="inlineStr">
        <is>
          <t>1回払い</t>
        </is>
      </c>
      <c r="F37" s="3" t="n">
        <v>5705</v>
      </c>
      <c r="G37" s="2" t="inlineStr">
        <is>
          <t>5月</t>
        </is>
      </c>
    </row>
    <row r="38">
      <c r="A38" s="2" t="inlineStr">
        <is>
          <t>2026/04/18</t>
        </is>
      </c>
      <c r="B38" s="2" t="inlineStr">
        <is>
          <t>ＥＴＣカード売上</t>
        </is>
      </c>
      <c r="C38" s="2" t="inlineStr">
        <is>
          <t>交通費</t>
        </is>
      </c>
      <c r="D38" s="2" t="inlineStr">
        <is>
          <t>ETC*</t>
        </is>
      </c>
      <c r="E38" s="2" t="inlineStr">
        <is>
          <t>1回払い</t>
        </is>
      </c>
      <c r="F38" s="3" t="n">
        <v>160</v>
      </c>
      <c r="G38" s="2" t="inlineStr">
        <is>
          <t>6月</t>
        </is>
      </c>
    </row>
    <row r="39">
      <c r="A39" s="2" t="inlineStr">
        <is>
          <t>2026/04/18</t>
        </is>
      </c>
      <c r="B39" s="2" t="inlineStr">
        <is>
          <t>ＥＴＣカード売上</t>
        </is>
      </c>
      <c r="C39" s="2" t="inlineStr">
        <is>
          <t>交通費</t>
        </is>
      </c>
      <c r="D39" s="2" t="inlineStr">
        <is>
          <t>ETC*</t>
        </is>
      </c>
      <c r="E39" s="2" t="inlineStr">
        <is>
          <t>1回払い</t>
        </is>
      </c>
      <c r="F39" s="3" t="n">
        <v>870</v>
      </c>
      <c r="G39" s="2" t="inlineStr">
        <is>
          <t>6月</t>
        </is>
      </c>
    </row>
    <row r="40">
      <c r="A40" s="2" t="inlineStr">
        <is>
          <t>2026/04/18</t>
        </is>
      </c>
      <c r="B40" s="2" t="inlineStr">
        <is>
          <t>ＥＴＣカード売上</t>
        </is>
      </c>
      <c r="C40" s="2" t="inlineStr">
        <is>
          <t>交通費</t>
        </is>
      </c>
      <c r="D40" s="2" t="inlineStr">
        <is>
          <t>ETC*</t>
        </is>
      </c>
      <c r="E40" s="2" t="inlineStr">
        <is>
          <t>1回払い</t>
        </is>
      </c>
      <c r="F40" s="3" t="n">
        <v>2570</v>
      </c>
      <c r="G40" s="2" t="inlineStr">
        <is>
          <t>6月</t>
        </is>
      </c>
    </row>
    <row r="41">
      <c r="A41" s="2" t="inlineStr">
        <is>
          <t>2026/04/18</t>
        </is>
      </c>
      <c r="B41" s="2" t="inlineStr">
        <is>
          <t>ＥＴＣカード売上</t>
        </is>
      </c>
      <c r="C41" s="2" t="inlineStr">
        <is>
          <t>交通費</t>
        </is>
      </c>
      <c r="D41" s="2" t="inlineStr">
        <is>
          <t>ETC*</t>
        </is>
      </c>
      <c r="E41" s="2" t="inlineStr">
        <is>
          <t>1回払い</t>
        </is>
      </c>
      <c r="F41" s="3" t="n">
        <v>1990</v>
      </c>
      <c r="G41" s="2" t="inlineStr">
        <is>
          <t>6月</t>
        </is>
      </c>
    </row>
    <row r="42">
      <c r="A42" s="2" t="inlineStr">
        <is>
          <t>2026/04/18</t>
        </is>
      </c>
      <c r="B42" s="2" t="inlineStr">
        <is>
          <t>ＥＴＣカード売上</t>
        </is>
      </c>
      <c r="C42" s="2" t="inlineStr">
        <is>
          <t>交通費</t>
        </is>
      </c>
      <c r="D42" s="2" t="inlineStr">
        <is>
          <t>ETC*</t>
        </is>
      </c>
      <c r="E42" s="2" t="inlineStr">
        <is>
          <t>1回払い</t>
        </is>
      </c>
      <c r="F42" s="3" t="n">
        <v>2280</v>
      </c>
      <c r="G42" s="2" t="inlineStr">
        <is>
          <t>6月</t>
        </is>
      </c>
    </row>
    <row r="43">
      <c r="A43" s="2" t="inlineStr">
        <is>
          <t>2026/04/18</t>
        </is>
      </c>
      <c r="B43" s="2" t="inlineStr">
        <is>
          <t>ＥＴＣカード売上</t>
        </is>
      </c>
      <c r="C43" s="2" t="inlineStr">
        <is>
          <t>交通費</t>
        </is>
      </c>
      <c r="D43" s="2" t="inlineStr">
        <is>
          <t>ETC*</t>
        </is>
      </c>
      <c r="E43" s="2" t="inlineStr">
        <is>
          <t>1回払い</t>
        </is>
      </c>
      <c r="F43" s="3" t="n">
        <v>320</v>
      </c>
      <c r="G43" s="2" t="inlineStr">
        <is>
          <t>6月</t>
        </is>
      </c>
    </row>
    <row r="44">
      <c r="A44" s="2" t="inlineStr">
        <is>
          <t>2026/04/18</t>
        </is>
      </c>
      <c r="B44" s="2" t="inlineStr">
        <is>
          <t>ＥＴＣカード売上</t>
        </is>
      </c>
      <c r="C44" s="2" t="inlineStr">
        <is>
          <t>交通費</t>
        </is>
      </c>
      <c r="D44" s="2" t="inlineStr">
        <is>
          <t>ETC*</t>
        </is>
      </c>
      <c r="E44" s="2" t="inlineStr">
        <is>
          <t>1回払い</t>
        </is>
      </c>
      <c r="F44" s="3" t="n">
        <v>1100</v>
      </c>
      <c r="G44" s="2" t="inlineStr">
        <is>
          <t>6月</t>
        </is>
      </c>
    </row>
    <row r="45">
      <c r="A45" s="2" t="inlineStr">
        <is>
          <t>2026/04/24</t>
        </is>
      </c>
      <c r="B45" s="2" t="inlineStr">
        <is>
          <t>ＥＴＣカード売上</t>
        </is>
      </c>
      <c r="C45" s="2" t="inlineStr">
        <is>
          <t>交通費</t>
        </is>
      </c>
      <c r="D45" s="2" t="inlineStr">
        <is>
          <t>ETC*</t>
        </is>
      </c>
      <c r="E45" s="2" t="inlineStr">
        <is>
          <t>1回払い</t>
        </is>
      </c>
      <c r="F45" s="3" t="n">
        <v>810</v>
      </c>
      <c r="G45" s="2" t="inlineStr">
        <is>
          <t>6月</t>
        </is>
      </c>
    </row>
    <row r="46">
      <c r="A46" s="2" t="inlineStr">
        <is>
          <t>2026/04/26</t>
        </is>
      </c>
      <c r="B46" s="2" t="inlineStr">
        <is>
          <t>ＥＴＣカード売上</t>
        </is>
      </c>
      <c r="C46" s="2" t="inlineStr">
        <is>
          <t>交通費</t>
        </is>
      </c>
      <c r="D46" s="2" t="inlineStr">
        <is>
          <t>ETC*</t>
        </is>
      </c>
      <c r="E46" s="2" t="inlineStr">
        <is>
          <t>1回払い</t>
        </is>
      </c>
      <c r="F46" s="3" t="n">
        <v>810</v>
      </c>
      <c r="G46" s="2" t="inlineStr">
        <is>
          <t>6月</t>
        </is>
      </c>
    </row>
    <row r="47">
      <c r="A47" s="2" t="inlineStr">
        <is>
          <t>2026/04/26</t>
        </is>
      </c>
      <c r="B47" s="2" t="inlineStr">
        <is>
          <t>ＥＴＣカード売上</t>
        </is>
      </c>
      <c r="C47" s="2" t="inlineStr">
        <is>
          <t>交通費</t>
        </is>
      </c>
      <c r="D47" s="2" t="inlineStr">
        <is>
          <t>ETC*</t>
        </is>
      </c>
      <c r="E47" s="2" t="inlineStr">
        <is>
          <t>1回払い</t>
        </is>
      </c>
      <c r="F47" s="3" t="n">
        <v>810</v>
      </c>
      <c r="G47" s="2" t="inlineStr">
        <is>
          <t>6月</t>
        </is>
      </c>
    </row>
    <row r="48">
      <c r="A48" s="2" t="inlineStr">
        <is>
          <t>2026/04/26</t>
        </is>
      </c>
      <c r="B48" s="2" t="inlineStr">
        <is>
          <t>ＥＴＣカード売上</t>
        </is>
      </c>
      <c r="C48" s="2" t="inlineStr">
        <is>
          <t>交通費</t>
        </is>
      </c>
      <c r="D48" s="2" t="inlineStr">
        <is>
          <t>ETC*</t>
        </is>
      </c>
      <c r="E48" s="2" t="inlineStr">
        <is>
          <t>1回払い</t>
        </is>
      </c>
      <c r="F48" s="3" t="n">
        <v>1390</v>
      </c>
      <c r="G48" s="2" t="inlineStr">
        <is>
          <t>6月</t>
        </is>
      </c>
    </row>
    <row r="49">
      <c r="A49" s="2" t="inlineStr">
        <is>
          <t>2026/04/26</t>
        </is>
      </c>
      <c r="B49" s="2" t="inlineStr">
        <is>
          <t>ＥＴＣカード売上</t>
        </is>
      </c>
      <c r="C49" s="2" t="inlineStr">
        <is>
          <t>交通費</t>
        </is>
      </c>
      <c r="D49" s="2" t="inlineStr">
        <is>
          <t>ETC*</t>
        </is>
      </c>
      <c r="E49" s="2" t="inlineStr">
        <is>
          <t>1回払い</t>
        </is>
      </c>
      <c r="F49" s="3" t="n">
        <v>1390</v>
      </c>
      <c r="G49" s="2" t="inlineStr">
        <is>
          <t>6月</t>
        </is>
      </c>
    </row>
    <row r="50">
      <c r="A50" s="2" t="inlineStr">
        <is>
          <t>2026/04/30</t>
        </is>
      </c>
      <c r="B50" s="2" t="inlineStr">
        <is>
          <t>ＵＱ ｍｏｂｉｌｅご利用料金</t>
        </is>
      </c>
      <c r="C50" s="2" t="inlineStr">
        <is>
          <t>通信費・サブスク</t>
        </is>
      </c>
      <c r="D50" s="2" t="inlineStr">
        <is>
          <t>本人*</t>
        </is>
      </c>
      <c r="E50" s="2" t="inlineStr">
        <is>
          <t>1回払い</t>
        </is>
      </c>
      <c r="F50" s="3" t="n">
        <v>3739</v>
      </c>
      <c r="G50" s="2" t="inlineStr">
        <is>
          <t>6月</t>
        </is>
      </c>
    </row>
    <row r="51">
      <c r="A51" s="2" t="inlineStr">
        <is>
          <t>2026/05/02</t>
        </is>
      </c>
      <c r="B51" s="2" t="inlineStr">
        <is>
          <t>ｶﾝｻｲｽ-ﾊﾟ- ｸﾗｸｴﾝﾃﾝ</t>
        </is>
      </c>
      <c r="C51" s="2" t="inlineStr">
        <is>
          <t>スーパー・食料品</t>
        </is>
      </c>
      <c r="D51" s="2" t="inlineStr">
        <is>
          <t>本人*</t>
        </is>
      </c>
      <c r="E51" s="2" t="inlineStr">
        <is>
          <t>1回払い</t>
        </is>
      </c>
      <c r="F51" s="3" t="n">
        <v>452</v>
      </c>
      <c r="G51" s="2" t="inlineStr">
        <is>
          <t>6月</t>
        </is>
      </c>
    </row>
    <row r="52">
      <c r="A52" s="2" t="inlineStr">
        <is>
          <t>2026/05/03</t>
        </is>
      </c>
      <c r="B52" s="2" t="inlineStr">
        <is>
          <t>AMAZON.CO.JP</t>
        </is>
      </c>
      <c r="C52" s="2" t="inlineStr">
        <is>
          <t>ネットショッピング</t>
        </is>
      </c>
      <c r="D52" s="2" t="inlineStr">
        <is>
          <t>本人*</t>
        </is>
      </c>
      <c r="E52" s="2" t="inlineStr">
        <is>
          <t>1回払い</t>
        </is>
      </c>
      <c r="F52" s="3" t="n">
        <v>12378</v>
      </c>
      <c r="G52" s="2" t="inlineStr">
        <is>
          <t>6月</t>
        </is>
      </c>
    </row>
    <row r="53">
      <c r="A53" s="2" t="inlineStr">
        <is>
          <t>2026/05/05</t>
        </is>
      </c>
      <c r="B53" s="2" t="inlineStr">
        <is>
          <t>ＥＴＣカード売上</t>
        </is>
      </c>
      <c r="C53" s="2" t="inlineStr">
        <is>
          <t>交通費</t>
        </is>
      </c>
      <c r="D53" s="2" t="inlineStr">
        <is>
          <t>ETC*</t>
        </is>
      </c>
      <c r="E53" s="2" t="inlineStr">
        <is>
          <t>1回払い</t>
        </is>
      </c>
      <c r="F53" s="3" t="n">
        <v>530</v>
      </c>
      <c r="G53" s="2" t="inlineStr">
        <is>
          <t>6月</t>
        </is>
      </c>
    </row>
    <row r="54">
      <c r="A54" s="2" t="inlineStr">
        <is>
          <t>2026/05/05</t>
        </is>
      </c>
      <c r="B54" s="2" t="inlineStr">
        <is>
          <t>ＥＴＣカード売上</t>
        </is>
      </c>
      <c r="C54" s="2" t="inlineStr">
        <is>
          <t>交通費</t>
        </is>
      </c>
      <c r="D54" s="2" t="inlineStr">
        <is>
          <t>ETC*</t>
        </is>
      </c>
      <c r="E54" s="2" t="inlineStr">
        <is>
          <t>1回払い</t>
        </is>
      </c>
      <c r="F54" s="3" t="n">
        <v>2170</v>
      </c>
      <c r="G54" s="2" t="inlineStr">
        <is>
          <t>6月</t>
        </is>
      </c>
    </row>
    <row r="55">
      <c r="A55" s="2" t="inlineStr">
        <is>
          <t>2026/05/05</t>
        </is>
      </c>
      <c r="B55" s="2" t="inlineStr">
        <is>
          <t>ＥＴＣカード売上</t>
        </is>
      </c>
      <c r="C55" s="2" t="inlineStr">
        <is>
          <t>交通費</t>
        </is>
      </c>
      <c r="D55" s="2" t="inlineStr">
        <is>
          <t>ETC*</t>
        </is>
      </c>
      <c r="E55" s="2" t="inlineStr">
        <is>
          <t>1回払い</t>
        </is>
      </c>
      <c r="F55" s="3" t="n">
        <v>1860</v>
      </c>
      <c r="G55" s="2" t="inlineStr">
        <is>
          <t>6月</t>
        </is>
      </c>
    </row>
    <row r="56">
      <c r="A56" s="2" t="inlineStr">
        <is>
          <t>2026/05/06</t>
        </is>
      </c>
      <c r="B56" s="2" t="inlineStr">
        <is>
          <t>ﾈｯﾄﾌﾘｯｸｽ</t>
        </is>
      </c>
      <c r="C56" s="2" t="inlineStr">
        <is>
          <t>通信費・サブスク</t>
        </is>
      </c>
      <c r="D56" s="2" t="inlineStr">
        <is>
          <t>本人*</t>
        </is>
      </c>
      <c r="E56" s="2" t="inlineStr">
        <is>
          <t>1回払い</t>
        </is>
      </c>
      <c r="F56" s="3" t="n">
        <v>890</v>
      </c>
      <c r="G56" s="2" t="inlineStr">
        <is>
          <t>6月</t>
        </is>
      </c>
    </row>
    <row r="57">
      <c r="A57" s="2" t="inlineStr">
        <is>
          <t>2026/05/06</t>
        </is>
      </c>
      <c r="B57" s="2" t="inlineStr">
        <is>
          <t>ＥＴＣカード売上</t>
        </is>
      </c>
      <c r="C57" s="2" t="inlineStr">
        <is>
          <t>交通費</t>
        </is>
      </c>
      <c r="D57" s="2" t="inlineStr">
        <is>
          <t>ETC*</t>
        </is>
      </c>
      <c r="E57" s="2" t="inlineStr">
        <is>
          <t>1回払い</t>
        </is>
      </c>
      <c r="F57" s="3" t="n">
        <v>1530</v>
      </c>
      <c r="G57" s="2" t="inlineStr">
        <is>
          <t>6月</t>
        </is>
      </c>
    </row>
    <row r="58">
      <c r="A58" s="2" t="inlineStr">
        <is>
          <t>2026/05/06</t>
        </is>
      </c>
      <c r="B58" s="2" t="inlineStr">
        <is>
          <t>ＥＴＣカード売上</t>
        </is>
      </c>
      <c r="C58" s="2" t="inlineStr">
        <is>
          <t>交通費</t>
        </is>
      </c>
      <c r="D58" s="2" t="inlineStr">
        <is>
          <t>ETC*</t>
        </is>
      </c>
      <c r="E58" s="2" t="inlineStr">
        <is>
          <t>1回払い</t>
        </is>
      </c>
      <c r="F58" s="3" t="n">
        <v>1530</v>
      </c>
      <c r="G58" s="2" t="inlineStr">
        <is>
          <t>6月</t>
        </is>
      </c>
    </row>
    <row r="59">
      <c r="A59" s="2" t="inlineStr">
        <is>
          <t>2026/05/06</t>
        </is>
      </c>
      <c r="B59" s="2" t="inlineStr">
        <is>
          <t>ＥＴＣカード売上</t>
        </is>
      </c>
      <c r="C59" s="2" t="inlineStr">
        <is>
          <t>交通費</t>
        </is>
      </c>
      <c r="D59" s="2" t="inlineStr">
        <is>
          <t>ETC*</t>
        </is>
      </c>
      <c r="E59" s="2" t="inlineStr">
        <is>
          <t>1回払い</t>
        </is>
      </c>
      <c r="F59" s="3" t="n">
        <v>1860</v>
      </c>
      <c r="G59" s="2" t="inlineStr">
        <is>
          <t>6月</t>
        </is>
      </c>
    </row>
    <row r="60">
      <c r="A60" s="2" t="inlineStr">
        <is>
          <t>2026/05/12</t>
        </is>
      </c>
      <c r="B60" s="2" t="inlineStr">
        <is>
          <t>楽天モバイル買い替え超トク</t>
        </is>
      </c>
      <c r="C60" s="2" t="inlineStr">
        <is>
          <t>通信費・サブスク</t>
        </is>
      </c>
      <c r="D60" s="2" t="inlineStr">
        <is>
          <t>本人*</t>
        </is>
      </c>
      <c r="E60" s="2" t="inlineStr">
        <is>
          <t>1回払い</t>
        </is>
      </c>
      <c r="F60" s="3" t="n">
        <v>990</v>
      </c>
      <c r="G60" s="2" t="inlineStr">
        <is>
          <t>6月</t>
        </is>
      </c>
    </row>
    <row r="61">
      <c r="A61" s="2" t="inlineStr">
        <is>
          <t>2026/05/13</t>
        </is>
      </c>
      <c r="B61" s="2" t="inlineStr">
        <is>
          <t>楽天キャッシュ チャージ</t>
        </is>
      </c>
      <c r="C61" s="2" t="inlineStr">
        <is>
          <t>電子マネー・チャージ</t>
        </is>
      </c>
      <c r="D61" s="2" t="inlineStr">
        <is>
          <t>本人*</t>
        </is>
      </c>
      <c r="E61" s="2" t="inlineStr">
        <is>
          <t>1回払い</t>
        </is>
      </c>
      <c r="F61" s="3" t="n">
        <v>1000</v>
      </c>
      <c r="G61" s="2" t="inlineStr">
        <is>
          <t>6月</t>
        </is>
      </c>
    </row>
    <row r="62">
      <c r="A62" s="2" t="inlineStr">
        <is>
          <t>2026/05/27</t>
        </is>
      </c>
      <c r="B62" s="2" t="inlineStr">
        <is>
          <t>CURSOR, AI POWERED I利用国US</t>
        </is>
      </c>
      <c r="C62" s="2" t="inlineStr">
        <is>
          <t>通信費・サブスク</t>
        </is>
      </c>
      <c r="D62" s="2" t="inlineStr">
        <is>
          <t>本人*</t>
        </is>
      </c>
      <c r="E62" s="2" t="inlineStr">
        <is>
          <t>1回払い</t>
        </is>
      </c>
      <c r="F62" s="3" t="n">
        <v>31718</v>
      </c>
      <c r="G62" s="2" t="inlineStr">
        <is>
          <t>6月</t>
        </is>
      </c>
    </row>
    <row r="63">
      <c r="A63" s="2" t="inlineStr">
        <is>
          <t>2026/05/16</t>
        </is>
      </c>
      <c r="B63" s="2" t="inlineStr">
        <is>
          <t>ＥＴＣカード売上</t>
        </is>
      </c>
      <c r="C63" s="2" t="inlineStr">
        <is>
          <t>交通費</t>
        </is>
      </c>
      <c r="D63" s="2" t="inlineStr">
        <is>
          <t>ETC*</t>
        </is>
      </c>
      <c r="E63" s="2" t="inlineStr">
        <is>
          <t>1回払い</t>
        </is>
      </c>
      <c r="F63" s="3" t="n">
        <v>120</v>
      </c>
      <c r="G63" s="2" t="inlineStr">
        <is>
          <t>7月</t>
        </is>
      </c>
    </row>
    <row r="64">
      <c r="A64" s="2" t="inlineStr">
        <is>
          <t>2026/05/16</t>
        </is>
      </c>
      <c r="B64" s="2" t="inlineStr">
        <is>
          <t>ＥＴＣカード売上</t>
        </is>
      </c>
      <c r="C64" s="2" t="inlineStr">
        <is>
          <t>交通費</t>
        </is>
      </c>
      <c r="D64" s="2" t="inlineStr">
        <is>
          <t>ETC*</t>
        </is>
      </c>
      <c r="E64" s="2" t="inlineStr">
        <is>
          <t>1回払い</t>
        </is>
      </c>
      <c r="F64" s="3" t="n">
        <v>2430</v>
      </c>
      <c r="G64" s="2" t="inlineStr">
        <is>
          <t>7月</t>
        </is>
      </c>
    </row>
    <row r="65">
      <c r="A65" s="2" t="inlineStr">
        <is>
          <t>2026/05/16</t>
        </is>
      </c>
      <c r="B65" s="2" t="inlineStr">
        <is>
          <t>ＥＴＣカード売上</t>
        </is>
      </c>
      <c r="C65" s="2" t="inlineStr">
        <is>
          <t>交通費</t>
        </is>
      </c>
      <c r="D65" s="2" t="inlineStr">
        <is>
          <t>ETC*</t>
        </is>
      </c>
      <c r="E65" s="2" t="inlineStr">
        <is>
          <t>1回払い</t>
        </is>
      </c>
      <c r="F65" s="3" t="n">
        <v>2060</v>
      </c>
      <c r="G65" s="2" t="inlineStr">
        <is>
          <t>7月</t>
        </is>
      </c>
    </row>
    <row r="66">
      <c r="A66" s="2" t="inlineStr">
        <is>
          <t>2026/05/17</t>
        </is>
      </c>
      <c r="B66" s="2" t="inlineStr">
        <is>
          <t>ＥＴＣカード売上</t>
        </is>
      </c>
      <c r="C66" s="2" t="inlineStr">
        <is>
          <t>交通費</t>
        </is>
      </c>
      <c r="D66" s="2" t="inlineStr">
        <is>
          <t>ETC*</t>
        </is>
      </c>
      <c r="E66" s="2" t="inlineStr">
        <is>
          <t>1回払い</t>
        </is>
      </c>
      <c r="F66" s="3" t="n">
        <v>620</v>
      </c>
      <c r="G66" s="2" t="inlineStr">
        <is>
          <t>7月</t>
        </is>
      </c>
    </row>
    <row r="67">
      <c r="A67" s="2" t="inlineStr">
        <is>
          <t>2026/05/17</t>
        </is>
      </c>
      <c r="B67" s="2" t="inlineStr">
        <is>
          <t>ＥＴＣカード売上</t>
        </is>
      </c>
      <c r="C67" s="2" t="inlineStr">
        <is>
          <t>交通費</t>
        </is>
      </c>
      <c r="D67" s="2" t="inlineStr">
        <is>
          <t>ETC*</t>
        </is>
      </c>
      <c r="E67" s="2" t="inlineStr">
        <is>
          <t>1回払い</t>
        </is>
      </c>
      <c r="F67" s="3" t="n">
        <v>1280</v>
      </c>
      <c r="G67" s="2" t="inlineStr">
        <is>
          <t>7月</t>
        </is>
      </c>
    </row>
    <row r="68">
      <c r="A68" s="2" t="inlineStr">
        <is>
          <t>2026/05/30</t>
        </is>
      </c>
      <c r="B68" s="2" t="inlineStr">
        <is>
          <t>ＥＴＣカード売上</t>
        </is>
      </c>
      <c r="C68" s="2" t="inlineStr">
        <is>
          <t>交通費</t>
        </is>
      </c>
      <c r="D68" s="2" t="inlineStr">
        <is>
          <t>ETC*</t>
        </is>
      </c>
      <c r="E68" s="2" t="inlineStr">
        <is>
          <t>1回払い</t>
        </is>
      </c>
      <c r="F68" s="3" t="n">
        <v>1860</v>
      </c>
      <c r="G68" s="2" t="inlineStr">
        <is>
          <t>7月</t>
        </is>
      </c>
    </row>
    <row r="69">
      <c r="A69" s="2" t="inlineStr">
        <is>
          <t>2026/05/30</t>
        </is>
      </c>
      <c r="B69" s="2" t="inlineStr">
        <is>
          <t>ＥＴＣカード売上</t>
        </is>
      </c>
      <c r="C69" s="2" t="inlineStr">
        <is>
          <t>交通費</t>
        </is>
      </c>
      <c r="D69" s="2" t="inlineStr">
        <is>
          <t>ETC*</t>
        </is>
      </c>
      <c r="E69" s="2" t="inlineStr">
        <is>
          <t>1回払い</t>
        </is>
      </c>
      <c r="F69" s="3" t="n">
        <v>370</v>
      </c>
      <c r="G69" s="2" t="inlineStr">
        <is>
          <t>7月</t>
        </is>
      </c>
    </row>
    <row r="70">
      <c r="A70" s="2" t="inlineStr">
        <is>
          <t>2026/05/31</t>
        </is>
      </c>
      <c r="B70" s="2" t="inlineStr">
        <is>
          <t>ＵＱ ｍｏｂｉｌｅご利用料金</t>
        </is>
      </c>
      <c r="C70" s="2" t="inlineStr">
        <is>
          <t>通信費・サブスク</t>
        </is>
      </c>
      <c r="D70" s="2" t="inlineStr">
        <is>
          <t>本人*</t>
        </is>
      </c>
      <c r="E70" s="2" t="inlineStr">
        <is>
          <t>1回払い</t>
        </is>
      </c>
      <c r="F70" s="3" t="n">
        <v>241</v>
      </c>
      <c r="G70" s="2" t="inlineStr">
        <is>
          <t>7月</t>
        </is>
      </c>
    </row>
    <row r="71">
      <c r="A71" s="2" t="inlineStr">
        <is>
          <t>2026/06/05</t>
        </is>
      </c>
      <c r="B71" s="2" t="inlineStr">
        <is>
          <t>ﾈｯﾄﾌﾘｯｸｽ</t>
        </is>
      </c>
      <c r="C71" s="2" t="inlineStr">
        <is>
          <t>通信費・サブスク</t>
        </is>
      </c>
      <c r="D71" s="2" t="inlineStr">
        <is>
          <t>本人*</t>
        </is>
      </c>
      <c r="E71" s="2" t="inlineStr">
        <is>
          <t>1回払い</t>
        </is>
      </c>
      <c r="F71" s="3" t="n">
        <v>890</v>
      </c>
      <c r="G71" s="2" t="inlineStr">
        <is>
          <t>7月</t>
        </is>
      </c>
    </row>
    <row r="72">
      <c r="A72" s="2" t="inlineStr">
        <is>
          <t>2026/06/11</t>
        </is>
      </c>
      <c r="B72" s="2" t="inlineStr">
        <is>
          <t>楽天モバイル買い替え超トク</t>
        </is>
      </c>
      <c r="C72" s="2" t="inlineStr">
        <is>
          <t>通信費・サブスク</t>
        </is>
      </c>
      <c r="D72" s="2" t="inlineStr">
        <is>
          <t>本人*</t>
        </is>
      </c>
      <c r="E72" s="2" t="inlineStr">
        <is>
          <t>1回払い</t>
        </is>
      </c>
      <c r="F72" s="3" t="n">
        <v>990</v>
      </c>
      <c r="G72" s="2" t="inlineStr">
        <is>
          <t>7月</t>
        </is>
      </c>
    </row>
    <row r="73">
      <c r="A73" s="2" t="inlineStr">
        <is>
          <t>2026/06/13</t>
        </is>
      </c>
      <c r="B73" s="2" t="inlineStr">
        <is>
          <t>楽天キャッシュ チャージ</t>
        </is>
      </c>
      <c r="C73" s="2" t="inlineStr">
        <is>
          <t>電子マネー・チャージ</t>
        </is>
      </c>
      <c r="D73" s="2" t="inlineStr">
        <is>
          <t>本人*</t>
        </is>
      </c>
      <c r="E73" s="2" t="inlineStr">
        <is>
          <t>1回払い</t>
        </is>
      </c>
      <c r="F73" s="3" t="n">
        <v>2293</v>
      </c>
      <c r="G73" s="2" t="inlineStr">
        <is>
          <t>7月</t>
        </is>
      </c>
    </row>
    <row r="74">
      <c r="C74" s="4" t="inlineStr">
        <is>
          <t>合計</t>
        </is>
      </c>
      <c r="F74" s="5">
        <f>SUM(F2:F73)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>
      <c r="A1" s="6" t="inlineStr">
        <is>
          <t>楽天カード ご利用明細 月別×カテゴリ集計（お支払月ベース）</t>
        </is>
      </c>
    </row>
    <row r="3">
      <c r="A3" s="7" t="inlineStr">
        <is>
          <t>カテゴリ</t>
        </is>
      </c>
      <c r="B3" s="1" t="inlineStr">
        <is>
          <t>1月(支払)</t>
        </is>
      </c>
      <c r="C3" s="1" t="inlineStr">
        <is>
          <t>2月(支払)</t>
        </is>
      </c>
      <c r="D3" s="1" t="inlineStr">
        <is>
          <t>3月(支払)</t>
        </is>
      </c>
      <c r="E3" s="1" t="inlineStr">
        <is>
          <t>4月(支払)</t>
        </is>
      </c>
      <c r="F3" s="1" t="inlineStr">
        <is>
          <t>5月(支払)</t>
        </is>
      </c>
      <c r="G3" s="1" t="inlineStr">
        <is>
          <t>6月(支払)</t>
        </is>
      </c>
      <c r="H3" s="1" t="inlineStr">
        <is>
          <t>7月(支払)</t>
        </is>
      </c>
      <c r="I3" s="7" t="inlineStr">
        <is>
          <t>合計</t>
        </is>
      </c>
    </row>
    <row r="4">
      <c r="A4" s="2" t="inlineStr">
        <is>
          <t>投資</t>
        </is>
      </c>
      <c r="B4" s="3">
        <f>SUMIFS(明細!$F$2:$F$73,明細!$C$2:$C$73,$A4,明細!$G$2:$G$73,B$3)</f>
        <v/>
      </c>
      <c r="C4" s="3">
        <f>SUMIFS(明細!$F$2:$F$73,明細!$C$2:$C$73,$A4,明細!$G$2:$G$73,C$3)</f>
        <v/>
      </c>
      <c r="D4" s="3">
        <f>SUMIFS(明細!$F$2:$F$73,明細!$C$2:$C$73,$A4,明細!$G$2:$G$73,D$3)</f>
        <v/>
      </c>
      <c r="E4" s="3">
        <f>SUMIFS(明細!$F$2:$F$73,明細!$C$2:$C$73,$A4,明細!$G$2:$G$73,E$3)</f>
        <v/>
      </c>
      <c r="F4" s="3">
        <f>SUMIFS(明細!$F$2:$F$73,明細!$C$2:$C$73,$A4,明細!$G$2:$G$73,F$3)</f>
        <v/>
      </c>
      <c r="G4" s="3">
        <f>SUMIFS(明細!$F$2:$F$73,明細!$C$2:$C$73,$A4,明細!$G$2:$G$73,G$3)</f>
        <v/>
      </c>
      <c r="H4" s="3">
        <f>SUMIFS(明細!$F$2:$F$73,明細!$C$2:$C$73,$A4,明細!$G$2:$G$73,H$3)</f>
        <v/>
      </c>
      <c r="I4" s="8">
        <f>SUM(B4:H4)</f>
        <v/>
      </c>
    </row>
    <row r="5">
      <c r="A5" s="2" t="inlineStr">
        <is>
          <t>電子マネー・チャージ</t>
        </is>
      </c>
      <c r="B5" s="3">
        <f>SUMIFS(明細!$F$2:$F$73,明細!$C$2:$C$73,$A5,明細!$G$2:$G$73,B$3)</f>
        <v/>
      </c>
      <c r="C5" s="3">
        <f>SUMIFS(明細!$F$2:$F$73,明細!$C$2:$C$73,$A5,明細!$G$2:$G$73,C$3)</f>
        <v/>
      </c>
      <c r="D5" s="3">
        <f>SUMIFS(明細!$F$2:$F$73,明細!$C$2:$C$73,$A5,明細!$G$2:$G$73,D$3)</f>
        <v/>
      </c>
      <c r="E5" s="3">
        <f>SUMIFS(明細!$F$2:$F$73,明細!$C$2:$C$73,$A5,明細!$G$2:$G$73,E$3)</f>
        <v/>
      </c>
      <c r="F5" s="3">
        <f>SUMIFS(明細!$F$2:$F$73,明細!$C$2:$C$73,$A5,明細!$G$2:$G$73,F$3)</f>
        <v/>
      </c>
      <c r="G5" s="3">
        <f>SUMIFS(明細!$F$2:$F$73,明細!$C$2:$C$73,$A5,明細!$G$2:$G$73,G$3)</f>
        <v/>
      </c>
      <c r="H5" s="3">
        <f>SUMIFS(明細!$F$2:$F$73,明細!$C$2:$C$73,$A5,明細!$G$2:$G$73,H$3)</f>
        <v/>
      </c>
      <c r="I5" s="8">
        <f>SUM(B5:H5)</f>
        <v/>
      </c>
    </row>
    <row r="6">
      <c r="A6" s="2" t="inlineStr">
        <is>
          <t>通信費・サブスク</t>
        </is>
      </c>
      <c r="B6" s="3">
        <f>SUMIFS(明細!$F$2:$F$73,明細!$C$2:$C$73,$A6,明細!$G$2:$G$73,B$3)</f>
        <v/>
      </c>
      <c r="C6" s="3">
        <f>SUMIFS(明細!$F$2:$F$73,明細!$C$2:$C$73,$A6,明細!$G$2:$G$73,C$3)</f>
        <v/>
      </c>
      <c r="D6" s="3">
        <f>SUMIFS(明細!$F$2:$F$73,明細!$C$2:$C$73,$A6,明細!$G$2:$G$73,D$3)</f>
        <v/>
      </c>
      <c r="E6" s="3">
        <f>SUMIFS(明細!$F$2:$F$73,明細!$C$2:$C$73,$A6,明細!$G$2:$G$73,E$3)</f>
        <v/>
      </c>
      <c r="F6" s="3">
        <f>SUMIFS(明細!$F$2:$F$73,明細!$C$2:$C$73,$A6,明細!$G$2:$G$73,F$3)</f>
        <v/>
      </c>
      <c r="G6" s="3">
        <f>SUMIFS(明細!$F$2:$F$73,明細!$C$2:$C$73,$A6,明細!$G$2:$G$73,G$3)</f>
        <v/>
      </c>
      <c r="H6" s="3">
        <f>SUMIFS(明細!$F$2:$F$73,明細!$C$2:$C$73,$A6,明細!$G$2:$G$73,H$3)</f>
        <v/>
      </c>
      <c r="I6" s="8">
        <f>SUM(B6:H6)</f>
        <v/>
      </c>
    </row>
    <row r="7">
      <c r="A7" s="2" t="inlineStr">
        <is>
          <t>交通費</t>
        </is>
      </c>
      <c r="B7" s="3">
        <f>SUMIFS(明細!$F$2:$F$73,明細!$C$2:$C$73,$A7,明細!$G$2:$G$73,B$3)</f>
        <v/>
      </c>
      <c r="C7" s="3">
        <f>SUMIFS(明細!$F$2:$F$73,明細!$C$2:$C$73,$A7,明細!$G$2:$G$73,C$3)</f>
        <v/>
      </c>
      <c r="D7" s="3">
        <f>SUMIFS(明細!$F$2:$F$73,明細!$C$2:$C$73,$A7,明細!$G$2:$G$73,D$3)</f>
        <v/>
      </c>
      <c r="E7" s="3">
        <f>SUMIFS(明細!$F$2:$F$73,明細!$C$2:$C$73,$A7,明細!$G$2:$G$73,E$3)</f>
        <v/>
      </c>
      <c r="F7" s="3">
        <f>SUMIFS(明細!$F$2:$F$73,明細!$C$2:$C$73,$A7,明細!$G$2:$G$73,F$3)</f>
        <v/>
      </c>
      <c r="G7" s="3">
        <f>SUMIFS(明細!$F$2:$F$73,明細!$C$2:$C$73,$A7,明細!$G$2:$G$73,G$3)</f>
        <v/>
      </c>
      <c r="H7" s="3">
        <f>SUMIFS(明細!$F$2:$F$73,明細!$C$2:$C$73,$A7,明細!$G$2:$G$73,H$3)</f>
        <v/>
      </c>
      <c r="I7" s="8">
        <f>SUM(B7:H7)</f>
        <v/>
      </c>
    </row>
    <row r="8">
      <c r="A8" s="2" t="inlineStr">
        <is>
          <t>ネットショッピング</t>
        </is>
      </c>
      <c r="B8" s="3">
        <f>SUMIFS(明細!$F$2:$F$73,明細!$C$2:$C$73,$A8,明細!$G$2:$G$73,B$3)</f>
        <v/>
      </c>
      <c r="C8" s="3">
        <f>SUMIFS(明細!$F$2:$F$73,明細!$C$2:$C$73,$A8,明細!$G$2:$G$73,C$3)</f>
        <v/>
      </c>
      <c r="D8" s="3">
        <f>SUMIFS(明細!$F$2:$F$73,明細!$C$2:$C$73,$A8,明細!$G$2:$G$73,D$3)</f>
        <v/>
      </c>
      <c r="E8" s="3">
        <f>SUMIFS(明細!$F$2:$F$73,明細!$C$2:$C$73,$A8,明細!$G$2:$G$73,E$3)</f>
        <v/>
      </c>
      <c r="F8" s="3">
        <f>SUMIFS(明細!$F$2:$F$73,明細!$C$2:$C$73,$A8,明細!$G$2:$G$73,F$3)</f>
        <v/>
      </c>
      <c r="G8" s="3">
        <f>SUMIFS(明細!$F$2:$F$73,明細!$C$2:$C$73,$A8,明細!$G$2:$G$73,G$3)</f>
        <v/>
      </c>
      <c r="H8" s="3">
        <f>SUMIFS(明細!$F$2:$F$73,明細!$C$2:$C$73,$A8,明細!$G$2:$G$73,H$3)</f>
        <v/>
      </c>
      <c r="I8" s="8">
        <f>SUM(B8:H8)</f>
        <v/>
      </c>
    </row>
    <row r="9">
      <c r="A9" s="2" t="inlineStr">
        <is>
          <t>スーパー・食料品</t>
        </is>
      </c>
      <c r="B9" s="3">
        <f>SUMIFS(明細!$F$2:$F$73,明細!$C$2:$C$73,$A9,明細!$G$2:$G$73,B$3)</f>
        <v/>
      </c>
      <c r="C9" s="3">
        <f>SUMIFS(明細!$F$2:$F$73,明細!$C$2:$C$73,$A9,明細!$G$2:$G$73,C$3)</f>
        <v/>
      </c>
      <c r="D9" s="3">
        <f>SUMIFS(明細!$F$2:$F$73,明細!$C$2:$C$73,$A9,明細!$G$2:$G$73,D$3)</f>
        <v/>
      </c>
      <c r="E9" s="3">
        <f>SUMIFS(明細!$F$2:$F$73,明細!$C$2:$C$73,$A9,明細!$G$2:$G$73,E$3)</f>
        <v/>
      </c>
      <c r="F9" s="3">
        <f>SUMIFS(明細!$F$2:$F$73,明細!$C$2:$C$73,$A9,明細!$G$2:$G$73,F$3)</f>
        <v/>
      </c>
      <c r="G9" s="3">
        <f>SUMIFS(明細!$F$2:$F$73,明細!$C$2:$C$73,$A9,明細!$G$2:$G$73,G$3)</f>
        <v/>
      </c>
      <c r="H9" s="3">
        <f>SUMIFS(明細!$F$2:$F$73,明細!$C$2:$C$73,$A9,明細!$G$2:$G$73,H$3)</f>
        <v/>
      </c>
      <c r="I9" s="8">
        <f>SUM(B9:H9)</f>
        <v/>
      </c>
    </row>
    <row r="10">
      <c r="A10" s="2" t="inlineStr">
        <is>
          <t>その他</t>
        </is>
      </c>
      <c r="B10" s="3">
        <f>SUMIFS(明細!$F$2:$F$73,明細!$C$2:$C$73,$A10,明細!$G$2:$G$73,B$3)</f>
        <v/>
      </c>
      <c r="C10" s="3">
        <f>SUMIFS(明細!$F$2:$F$73,明細!$C$2:$C$73,$A10,明細!$G$2:$G$73,C$3)</f>
        <v/>
      </c>
      <c r="D10" s="3">
        <f>SUMIFS(明細!$F$2:$F$73,明細!$C$2:$C$73,$A10,明細!$G$2:$G$73,D$3)</f>
        <v/>
      </c>
      <c r="E10" s="3">
        <f>SUMIFS(明細!$F$2:$F$73,明細!$C$2:$C$73,$A10,明細!$G$2:$G$73,E$3)</f>
        <v/>
      </c>
      <c r="F10" s="3">
        <f>SUMIFS(明細!$F$2:$F$73,明細!$C$2:$C$73,$A10,明細!$G$2:$G$73,F$3)</f>
        <v/>
      </c>
      <c r="G10" s="3">
        <f>SUMIFS(明細!$F$2:$F$73,明細!$C$2:$C$73,$A10,明細!$G$2:$G$73,G$3)</f>
        <v/>
      </c>
      <c r="H10" s="3">
        <f>SUMIFS(明細!$F$2:$F$73,明細!$C$2:$C$73,$A10,明細!$G$2:$G$73,H$3)</f>
        <v/>
      </c>
      <c r="I10" s="8">
        <f>SUM(B10:H10)</f>
        <v/>
      </c>
    </row>
    <row r="11">
      <c r="A11" s="9" t="inlineStr">
        <is>
          <t>合計</t>
        </is>
      </c>
      <c r="B11" s="8">
        <f>SUM(B4:B10)</f>
        <v/>
      </c>
      <c r="C11" s="8">
        <f>SUM(C4:C10)</f>
        <v/>
      </c>
      <c r="D11" s="8">
        <f>SUM(D4:D10)</f>
        <v/>
      </c>
      <c r="E11" s="8">
        <f>SUM(E4:E10)</f>
        <v/>
      </c>
      <c r="F11" s="8">
        <f>SUM(F4:F10)</f>
        <v/>
      </c>
      <c r="G11" s="8">
        <f>SUM(G4:G10)</f>
        <v/>
      </c>
      <c r="H11" s="8">
        <f>SUM(H4:H10)</f>
        <v/>
      </c>
      <c r="I11" s="8">
        <f>SUM(I4:I10)</f>
        <v/>
      </c>
    </row>
    <row r="13">
      <c r="A13" s="10" t="inlineStr">
        <is>
          <t>参考：各月の「ご請求金額」（明細書記載）。2月は調整額-23,044円・返金26,950円が発生したため、明細合計23,044円に対し請求額は0円。</t>
        </is>
      </c>
    </row>
    <row r="14">
      <c r="A14" s="7" t="inlineStr">
        <is>
          <t>お支払月</t>
        </is>
      </c>
      <c r="B14" s="7" t="inlineStr">
        <is>
          <t>お支払日</t>
        </is>
      </c>
      <c r="C14" s="7" t="inlineStr">
        <is>
          <t>ご請求金額(明細書記載)</t>
        </is>
      </c>
    </row>
    <row r="15">
      <c r="A15" s="2" t="inlineStr">
        <is>
          <t>1月(支払)</t>
        </is>
      </c>
      <c r="B15" s="2" t="inlineStr">
        <is>
          <t>2026/01/27</t>
        </is>
      </c>
      <c r="C15" s="3" t="n">
        <v>84671</v>
      </c>
    </row>
    <row r="16">
      <c r="A16" s="2" t="inlineStr">
        <is>
          <t>2月(支払)</t>
        </is>
      </c>
      <c r="B16" s="2" t="inlineStr">
        <is>
          <t>2026/02/27</t>
        </is>
      </c>
      <c r="C16" s="3" t="n">
        <v>0</v>
      </c>
    </row>
    <row r="17">
      <c r="A17" s="2" t="inlineStr">
        <is>
          <t>3月(支払)</t>
        </is>
      </c>
      <c r="B17" s="2" t="inlineStr">
        <is>
          <t>2026/03/27</t>
        </is>
      </c>
      <c r="C17" s="3" t="n">
        <v>6126</v>
      </c>
    </row>
    <row r="18">
      <c r="A18" s="2" t="inlineStr">
        <is>
          <t>4月(支払)</t>
        </is>
      </c>
      <c r="B18" s="2" t="inlineStr">
        <is>
          <t>2026/04/27</t>
        </is>
      </c>
      <c r="C18" s="3" t="n">
        <v>5119</v>
      </c>
    </row>
    <row r="19">
      <c r="A19" s="2" t="inlineStr">
        <is>
          <t>5月(支払)</t>
        </is>
      </c>
      <c r="B19" s="2" t="inlineStr">
        <is>
          <t>2026/05/27</t>
        </is>
      </c>
      <c r="C19" s="3" t="n">
        <v>15596</v>
      </c>
    </row>
    <row r="20">
      <c r="A20" s="2" t="inlineStr">
        <is>
          <t>6月(支払)</t>
        </is>
      </c>
      <c r="B20" s="2" t="inlineStr">
        <is>
          <t>2026/06/29</t>
        </is>
      </c>
      <c r="C20" s="3" t="n">
        <v>75147</v>
      </c>
    </row>
    <row r="21">
      <c r="A21" s="2" t="inlineStr">
        <is>
          <t>7月(支払)</t>
        </is>
      </c>
      <c r="B21" s="2" t="inlineStr">
        <is>
          <t>2026/07/27</t>
        </is>
      </c>
      <c r="C21" s="3" t="n">
        <v>13154</v>
      </c>
    </row>
  </sheetData>
  <mergeCells count="2">
    <mergeCell ref="A1:I1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30" customWidth="1" min="4" max="4"/>
  </cols>
  <sheetData>
    <row r="1">
      <c r="A1" s="6" t="inlineStr">
        <is>
          <t>カテゴリ別集計（2026年1月〜7月支払 全体）</t>
        </is>
      </c>
    </row>
    <row r="3">
      <c r="A3" s="7" t="inlineStr">
        <is>
          <t>カテゴリ</t>
        </is>
      </c>
      <c r="B3" s="7" t="inlineStr">
        <is>
          <t>金額</t>
        </is>
      </c>
      <c r="C3" s="7" t="inlineStr">
        <is>
          <t>構成比</t>
        </is>
      </c>
      <c r="D3" s="7" t="inlineStr"/>
    </row>
    <row r="4">
      <c r="A4" s="2" t="inlineStr">
        <is>
          <t>投資</t>
        </is>
      </c>
      <c r="B4" s="3">
        <f>SUMIF(明細!$C$2:$C$73,$A4,明細!$F$2:$F$73)</f>
        <v/>
      </c>
      <c r="C4" s="11">
        <f>B4/$B$11</f>
        <v/>
      </c>
    </row>
    <row r="5">
      <c r="A5" s="2" t="inlineStr">
        <is>
          <t>電子マネー・チャージ</t>
        </is>
      </c>
      <c r="B5" s="3">
        <f>SUMIF(明細!$C$2:$C$73,$A5,明細!$F$2:$F$73)</f>
        <v/>
      </c>
      <c r="C5" s="11">
        <f>B5/$B$11</f>
        <v/>
      </c>
    </row>
    <row r="6">
      <c r="A6" s="2" t="inlineStr">
        <is>
          <t>通信費・サブスク</t>
        </is>
      </c>
      <c r="B6" s="3">
        <f>SUMIF(明細!$C$2:$C$73,$A6,明細!$F$2:$F$73)</f>
        <v/>
      </c>
      <c r="C6" s="11">
        <f>B6/$B$11</f>
        <v/>
      </c>
    </row>
    <row r="7">
      <c r="A7" s="2" t="inlineStr">
        <is>
          <t>交通費</t>
        </is>
      </c>
      <c r="B7" s="3">
        <f>SUMIF(明細!$C$2:$C$73,$A7,明細!$F$2:$F$73)</f>
        <v/>
      </c>
      <c r="C7" s="11">
        <f>B7/$B$11</f>
        <v/>
      </c>
    </row>
    <row r="8">
      <c r="A8" s="2" t="inlineStr">
        <is>
          <t>ネットショッピング</t>
        </is>
      </c>
      <c r="B8" s="3">
        <f>SUMIF(明細!$C$2:$C$73,$A8,明細!$F$2:$F$73)</f>
        <v/>
      </c>
      <c r="C8" s="11">
        <f>B8/$B$11</f>
        <v/>
      </c>
    </row>
    <row r="9">
      <c r="A9" s="2" t="inlineStr">
        <is>
          <t>スーパー・食料品</t>
        </is>
      </c>
      <c r="B9" s="3">
        <f>SUMIF(明細!$C$2:$C$73,$A9,明細!$F$2:$F$73)</f>
        <v/>
      </c>
      <c r="C9" s="11">
        <f>B9/$B$11</f>
        <v/>
      </c>
    </row>
    <row r="10">
      <c r="A10" s="2" t="inlineStr">
        <is>
          <t>その他</t>
        </is>
      </c>
      <c r="B10" s="3">
        <f>SUMIF(明細!$C$2:$C$73,$A10,明細!$F$2:$F$73)</f>
        <v/>
      </c>
      <c r="C10" s="11">
        <f>B10/$B$11</f>
        <v/>
      </c>
    </row>
    <row r="11">
      <c r="A11" s="9" t="inlineStr">
        <is>
          <t>合計</t>
        </is>
      </c>
      <c r="B11" s="8">
        <f>SUM(B4:B10)</f>
        <v/>
      </c>
      <c r="C11" s="12">
        <f>B11/B11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2026-07-23T15:30:11Z</dcterms:created>
  <dcterms:modified xsi:type="dcterms:W3CDTF">2026-07-23T15:30:11Z</dcterms:modified>
</cp:coreProperties>
</file>